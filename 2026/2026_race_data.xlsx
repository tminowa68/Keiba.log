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0d6fd918b51f79/keiba.log/"/>
    </mc:Choice>
  </mc:AlternateContent>
  <xr:revisionPtr revIDLastSave="2377" documentId="8_{BF37E80C-3D8D-42FF-83F8-C733B969B255}" xr6:coauthVersionLast="47" xr6:coauthVersionMax="47" xr10:uidLastSave="{AFBD2353-DBFE-D646-A49C-908287E51394}"/>
  <bookViews>
    <workbookView xWindow="-108" yWindow="-108" windowWidth="23256" windowHeight="12456" tabRatio="768" activeTab="3" xr2:uid="{B9DB88EC-F5CB-4D60-93C9-52D5F610AAB5}"/>
  </bookViews>
  <sheets>
    <sheet name="program" sheetId="28" r:id="rId1"/>
    <sheet name="schedule" sheetId="1" r:id="rId2"/>
    <sheet name="賞金" sheetId="29" r:id="rId3"/>
    <sheet name="1_中山" sheetId="21" r:id="rId4"/>
    <sheet name="1_京都" sheetId="22" r:id="rId5"/>
    <sheet name="1_小倉" sheetId="23" r:id="rId6"/>
    <sheet name="1_東京" sheetId="24" r:id="rId7"/>
    <sheet name="2_京都" sheetId="25" r:id="rId8"/>
    <sheet name="1_阪神" sheetId="26" r:id="rId9"/>
    <sheet name="2_中山" sheetId="27" r:id="rId10"/>
    <sheet name="1_中京" sheetId="12" r:id="rId11"/>
    <sheet name="3_中山" sheetId="8" r:id="rId12"/>
    <sheet name="2_阪神" sheetId="9" r:id="rId13"/>
    <sheet name="1_福島" sheetId="10" r:id="rId14"/>
    <sheet name="2_東京" sheetId="13" r:id="rId15"/>
    <sheet name="3_京都" sheetId="14" r:id="rId16"/>
    <sheet name="1_新潟" sheetId="15" r:id="rId17"/>
    <sheet name="3_東京" sheetId="16" r:id="rId18"/>
    <sheet name="3_阪神" sheetId="17" r:id="rId19"/>
    <sheet name="1_函館" sheetId="18" r:id="rId20"/>
    <sheet name="2_福島" sheetId="19" r:id="rId21"/>
    <sheet name="2_小倉" sheetId="20" r:id="rId22"/>
    <sheet name="2_新潟" sheetId="5" r:id="rId23"/>
    <sheet name="2_中京" sheetId="6" r:id="rId24"/>
    <sheet name="1_札幌" sheetId="7" r:id="rId25"/>
    <sheet name="3_新潟" sheetId="4" r:id="rId26"/>
    <sheet name="3_中京" sheetId="3" r:id="rId27"/>
    <sheet name="2_札幌" sheetId="2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8" l="1"/>
  <c r="B4" i="28"/>
  <c r="B5" i="28"/>
  <c r="A18" i="28"/>
  <c r="A8" i="28"/>
  <c r="A19" i="28"/>
  <c r="A15" i="28"/>
  <c r="A9" i="28"/>
  <c r="A14" i="28"/>
  <c r="A7" i="28"/>
  <c r="A17" i="28"/>
  <c r="A12" i="28"/>
  <c r="A16" i="28"/>
  <c r="A13" i="28"/>
  <c r="A11" i="28"/>
  <c r="A10" i="28"/>
  <c r="B18" i="28" a="1"/>
  <c r="B8" i="28" a="1"/>
  <c r="B15" i="28" a="1"/>
  <c r="B9" i="28" a="1"/>
  <c r="B14" i="28" a="1"/>
  <c r="B7" i="28" a="1"/>
  <c r="B17" i="28" a="1"/>
  <c r="B12" i="28" a="1"/>
  <c r="B16" i="28" a="1"/>
  <c r="B13" i="28" a="1"/>
  <c r="B11" i="28" a="1"/>
  <c r="B10" i="28" a="1"/>
  <c r="B10" i="28"/>
  <c r="B11" i="28"/>
  <c r="B13" i="28"/>
  <c r="B16" i="28"/>
  <c r="B12" i="28"/>
  <c r="B17" i="28"/>
  <c r="B7" i="28"/>
  <c r="B14" i="28"/>
  <c r="B9" i="28"/>
  <c r="B15" i="28"/>
  <c r="B8" i="28"/>
  <c r="B18" i="28"/>
  <c r="E10" i="28" a="1"/>
  <c r="H13" i="28" a="1"/>
  <c r="H16" i="28" a="1"/>
  <c r="H12" i="28" a="1"/>
  <c r="G7" i="28" a="1"/>
  <c r="D13" i="28" a="1"/>
  <c r="G9" i="28" a="1"/>
  <c r="D7" i="28" a="1"/>
  <c r="H18" i="28" a="1"/>
  <c r="G16" i="28" a="1"/>
  <c r="I9" i="28" a="1"/>
  <c r="H10" i="28" a="1"/>
  <c r="G13" i="28" a="1"/>
  <c r="E16" i="28" a="1"/>
  <c r="F12" i="28" a="1"/>
  <c r="I7" i="28" a="1"/>
  <c r="E14" i="28" a="1"/>
  <c r="F15" i="28" a="1"/>
  <c r="E8" i="28" a="1"/>
  <c r="E18" i="28" a="1"/>
  <c r="I13" i="28" a="1"/>
  <c r="H17" i="28" a="1"/>
  <c r="H7" i="28" a="1"/>
  <c r="G14" i="28" a="1"/>
  <c r="G15" i="28" a="1"/>
  <c r="I18" i="28" a="1"/>
  <c r="I15" i="28" a="1"/>
  <c r="I16" i="28" a="1"/>
  <c r="F9" i="28" a="1"/>
  <c r="H11" i="28" a="1"/>
  <c r="D17" i="28" a="1"/>
  <c r="F11" i="28" a="1"/>
  <c r="D15" i="28" a="1"/>
  <c r="I8" i="28" a="1"/>
  <c r="E9" i="28" a="1"/>
  <c r="G11" i="28" a="1"/>
  <c r="H14" i="28" a="1"/>
  <c r="F10" i="28" a="1"/>
  <c r="I14" i="28" a="1"/>
  <c r="E11" i="28" a="1"/>
  <c r="F13" i="28" a="1"/>
  <c r="F16" i="28" a="1"/>
  <c r="E17" i="28" a="1"/>
  <c r="F7" i="28" a="1"/>
  <c r="D8" i="28" a="1"/>
  <c r="H15" i="28" a="1"/>
  <c r="F8" i="28" a="1"/>
  <c r="G18" i="28" a="1"/>
  <c r="H9" i="28" a="1"/>
  <c r="G8" i="28" a="1"/>
  <c r="D9" i="28" a="1"/>
  <c r="D11" i="28" a="1"/>
  <c r="F14" i="28" a="1"/>
  <c r="H8" i="28" a="1"/>
  <c r="G12" i="28" a="1"/>
  <c r="D14" i="28" a="1"/>
  <c r="G17" i="28" a="1"/>
  <c r="I10" i="28" a="1"/>
  <c r="I11" i="28" a="1"/>
  <c r="D12" i="28" a="1"/>
  <c r="I12" i="28" a="1"/>
  <c r="D16" i="28" a="1"/>
  <c r="E7" i="28" a="1"/>
  <c r="E15" i="28" a="1"/>
  <c r="D10" i="28" a="1"/>
  <c r="E13" i="28" a="1"/>
  <c r="F17" i="28" a="1"/>
  <c r="G10" i="28" a="1"/>
  <c r="I17" i="28" a="1"/>
  <c r="F18" i="28" a="1"/>
  <c r="E12" i="28" a="1"/>
  <c r="D18" i="28" a="1"/>
  <c r="D18" i="28"/>
  <c r="E12" i="28"/>
  <c r="F18" i="28"/>
  <c r="I17" i="28"/>
  <c r="G10" i="28"/>
  <c r="F17" i="28"/>
  <c r="E13" i="28"/>
  <c r="D10" i="28"/>
  <c r="E15" i="28"/>
  <c r="E7" i="28"/>
  <c r="D16" i="28"/>
  <c r="I12" i="28"/>
  <c r="D12" i="28"/>
  <c r="I11" i="28"/>
  <c r="I10" i="28"/>
  <c r="G17" i="28"/>
  <c r="D14" i="28"/>
  <c r="G12" i="28"/>
  <c r="H8" i="28"/>
  <c r="F14" i="28"/>
  <c r="D11" i="28"/>
  <c r="D9" i="28"/>
  <c r="G8" i="28"/>
  <c r="H9" i="28"/>
  <c r="G18" i="28"/>
  <c r="F8" i="28"/>
  <c r="H15" i="28"/>
  <c r="D8" i="28"/>
  <c r="F7" i="28"/>
  <c r="E17" i="28"/>
  <c r="F16" i="28"/>
  <c r="F13" i="28"/>
  <c r="E11" i="28"/>
  <c r="I14" i="28"/>
  <c r="F10" i="28"/>
  <c r="H14" i="28"/>
  <c r="G11" i="28"/>
  <c r="E9" i="28"/>
  <c r="I8" i="28"/>
  <c r="D15" i="28"/>
  <c r="F11" i="28"/>
  <c r="D17" i="28"/>
  <c r="H11" i="28"/>
  <c r="F9" i="28"/>
  <c r="I16" i="28"/>
  <c r="I15" i="28"/>
  <c r="I18" i="28"/>
  <c r="G15" i="28"/>
  <c r="G14" i="28"/>
  <c r="H7" i="28"/>
  <c r="H17" i="28"/>
  <c r="I13" i="28"/>
  <c r="E18" i="28"/>
  <c r="E8" i="28"/>
  <c r="F15" i="28"/>
  <c r="E14" i="28"/>
  <c r="I7" i="28"/>
  <c r="F12" i="28"/>
  <c r="E16" i="28"/>
  <c r="G13" i="28"/>
  <c r="H10" i="28"/>
  <c r="I9" i="28"/>
  <c r="G16" i="28"/>
  <c r="H18" i="28"/>
  <c r="D7" i="28"/>
  <c r="G9" i="28"/>
  <c r="D13" i="28"/>
  <c r="G7" i="28"/>
  <c r="H12" i="28"/>
  <c r="H16" i="28"/>
  <c r="H13" i="28"/>
  <c r="E10" i="2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<sst xmlns="http://schemas.openxmlformats.org/spreadsheetml/2006/main" count="8998" uniqueCount="1165">
  <si>
    <t>中山</t>
    <rPh sb="0" eb="2">
      <t>ナカヤマ</t>
    </rPh>
    <phoneticPr fontId="1"/>
  </si>
  <si>
    <t>日付</t>
    <rPh sb="0" eb="2">
      <t>ヒヅケ</t>
    </rPh>
    <phoneticPr fontId="1"/>
  </si>
  <si>
    <t>開催_1</t>
    <rPh sb="0" eb="2">
      <t>カイサイ</t>
    </rPh>
    <phoneticPr fontId="1"/>
  </si>
  <si>
    <t>場_1</t>
    <rPh sb="0" eb="1">
      <t>ジョウ</t>
    </rPh>
    <phoneticPr fontId="1"/>
  </si>
  <si>
    <t>日_1</t>
    <rPh sb="0" eb="1">
      <t>ヒ</t>
    </rPh>
    <phoneticPr fontId="1"/>
  </si>
  <si>
    <t>開催_2</t>
    <rPh sb="0" eb="2">
      <t>カイサイ</t>
    </rPh>
    <phoneticPr fontId="1"/>
  </si>
  <si>
    <t>場_2</t>
    <rPh sb="0" eb="1">
      <t>ジョウ</t>
    </rPh>
    <phoneticPr fontId="1"/>
  </si>
  <si>
    <t>日_2</t>
    <rPh sb="0" eb="1">
      <t>ヒ</t>
    </rPh>
    <phoneticPr fontId="1"/>
  </si>
  <si>
    <t>開催_3</t>
    <rPh sb="0" eb="2">
      <t>カイサイ</t>
    </rPh>
    <phoneticPr fontId="1"/>
  </si>
  <si>
    <t>場_3</t>
    <rPh sb="0" eb="1">
      <t>ジョウ</t>
    </rPh>
    <phoneticPr fontId="1"/>
  </si>
  <si>
    <t>日_3</t>
    <rPh sb="0" eb="1">
      <t>ヒ</t>
    </rPh>
    <phoneticPr fontId="1"/>
  </si>
  <si>
    <t>阪神</t>
    <rPh sb="0" eb="2">
      <t>ハンシン</t>
    </rPh>
    <phoneticPr fontId="1"/>
  </si>
  <si>
    <t>福島</t>
    <rPh sb="0" eb="2">
      <t>フクシマ</t>
    </rPh>
    <phoneticPr fontId="1"/>
  </si>
  <si>
    <t>東京</t>
    <rPh sb="0" eb="2">
      <t>トウキョウ</t>
    </rPh>
    <phoneticPr fontId="1"/>
  </si>
  <si>
    <t>京都</t>
    <rPh sb="0" eb="2">
      <t>キョウト</t>
    </rPh>
    <phoneticPr fontId="1"/>
  </si>
  <si>
    <t>新潟</t>
    <rPh sb="0" eb="2">
      <t>ニイガタ</t>
    </rPh>
    <phoneticPr fontId="1"/>
  </si>
  <si>
    <t>函館</t>
    <rPh sb="0" eb="2">
      <t>ハコダテ</t>
    </rPh>
    <phoneticPr fontId="1"/>
  </si>
  <si>
    <t>小倉</t>
    <rPh sb="0" eb="2">
      <t>コクラ</t>
    </rPh>
    <phoneticPr fontId="1"/>
  </si>
  <si>
    <t>中京</t>
    <rPh sb="0" eb="2">
      <t>チュウキョウ</t>
    </rPh>
    <phoneticPr fontId="1"/>
  </si>
  <si>
    <t>札幌</t>
    <rPh sb="0" eb="2">
      <t>サッポロ</t>
    </rPh>
    <phoneticPr fontId="1"/>
  </si>
  <si>
    <t>2回札幌6日</t>
  </si>
  <si>
    <t>レース番号</t>
  </si>
  <si>
    <t>レース名・条件</t>
  </si>
  <si>
    <t>発走時刻</t>
  </si>
  <si>
    <t>1レース</t>
  </si>
  <si>
    <t>3歳未勝利</t>
  </si>
  <si>
    <t>1,700（ダ）（牝）</t>
  </si>
  <si>
    <t>2レース</t>
  </si>
  <si>
    <t>2歳未勝利</t>
  </si>
  <si>
    <t>2,000（芝）</t>
  </si>
  <si>
    <t>3レース</t>
  </si>
  <si>
    <t>1,700（ダ）</t>
  </si>
  <si>
    <t>4レース</t>
  </si>
  <si>
    <t>1,200（芝）</t>
  </si>
  <si>
    <t>5レース</t>
  </si>
  <si>
    <t>6レース</t>
  </si>
  <si>
    <t>3歳以上1勝クラス</t>
  </si>
  <si>
    <t>1,000（ダ）定量</t>
  </si>
  <si>
    <t>7レース</t>
  </si>
  <si>
    <t>1,200（芝）定量</t>
  </si>
  <si>
    <t>8レース</t>
  </si>
  <si>
    <t>1,500（芝）定量</t>
  </si>
  <si>
    <t>9レース</t>
  </si>
  <si>
    <t>旭川特別</t>
  </si>
  <si>
    <t>3歳以上2勝クラス</t>
  </si>
  <si>
    <t>1,700（ダ）定量</t>
  </si>
  <si>
    <t>10レース</t>
  </si>
  <si>
    <t>HTB賞</t>
  </si>
  <si>
    <t>1,800（芝）定量</t>
  </si>
  <si>
    <t>11レース</t>
  </si>
  <si>
    <t>丹頂ステークス</t>
  </si>
  <si>
    <t>3歳以上オープン</t>
  </si>
  <si>
    <t>2,600（芝）ハンデ</t>
  </si>
  <si>
    <t>12レース</t>
  </si>
  <si>
    <t>2回札幌5日</t>
  </si>
  <si>
    <t>1,000（ダ）</t>
  </si>
  <si>
    <t>2歳新馬</t>
  </si>
  <si>
    <t>1,500（芝）</t>
  </si>
  <si>
    <t>1,800（芝）（牝）定量</t>
  </si>
  <si>
    <t>Fビレッジ特別</t>
  </si>
  <si>
    <t>2,000（芝）定量</t>
  </si>
  <si>
    <t>札幌スポニチ賞</t>
  </si>
  <si>
    <t>第61回 農林水産省賞典</t>
  </si>
  <si>
    <t>札幌2歳ステークス（GⅢ）</t>
  </si>
  <si>
    <t>2歳オープン</t>
  </si>
  <si>
    <t>1,800（芝）</t>
  </si>
  <si>
    <t>1,700（ダ）（牝）定量</t>
  </si>
  <si>
    <t>2回札幌4日</t>
  </si>
  <si>
    <t>HBC賞</t>
  </si>
  <si>
    <t>1,200（芝）ハンデ</t>
  </si>
  <si>
    <t>日高ステークス</t>
  </si>
  <si>
    <t>3歳以上3勝クラス</t>
  </si>
  <si>
    <t>北辰特別</t>
  </si>
  <si>
    <t>2,600（芝）定量</t>
  </si>
  <si>
    <t>3回中京4日</t>
  </si>
  <si>
    <t>1,400（芝）</t>
  </si>
  <si>
    <t>1,600（芝）</t>
  </si>
  <si>
    <t>1,400（ダ）</t>
  </si>
  <si>
    <t>1,800（ダ）定量</t>
  </si>
  <si>
    <t>白川郷ステークス</t>
  </si>
  <si>
    <t>1,900（ダ）ハンデ</t>
  </si>
  <si>
    <t>第2回 中京2歳ステークス（GⅢ）</t>
  </si>
  <si>
    <t>熊野特別</t>
  </si>
  <si>
    <t>2,200（芝）定量</t>
  </si>
  <si>
    <t>1,800（ダ）（牝）</t>
  </si>
  <si>
    <t>1,200（ダ）定量</t>
  </si>
  <si>
    <t>3回新潟4日</t>
  </si>
  <si>
    <t>障害3歳以上未勝利</t>
  </si>
  <si>
    <t>2,850（芝・外→内）定量</t>
  </si>
  <si>
    <t>1,800（ダ）</t>
  </si>
  <si>
    <t>1,800（芝・外）</t>
  </si>
  <si>
    <t>両津湾特別</t>
  </si>
  <si>
    <t>日本海ステークス</t>
  </si>
  <si>
    <t>サマー2000シリーズ</t>
  </si>
  <si>
    <t>第62回 農林水産省賞典</t>
  </si>
  <si>
    <t>新潟記念（GⅢ）</t>
  </si>
  <si>
    <t>2,000（芝・外）別定</t>
  </si>
  <si>
    <t>閃光特別</t>
  </si>
  <si>
    <t>1,000（芝・直）定量</t>
  </si>
  <si>
    <t>1,800（芝・外）（牝）定量</t>
  </si>
  <si>
    <t>2回札幌3日</t>
  </si>
  <si>
    <t>1,500（芝）（牝）</t>
  </si>
  <si>
    <t>すずらん賞</t>
  </si>
  <si>
    <t>1,200（芝）別定</t>
  </si>
  <si>
    <t>札幌日刊スポーツ杯</t>
  </si>
  <si>
    <t>千歳特別</t>
  </si>
  <si>
    <t>3回中京3日</t>
  </si>
  <si>
    <t>1,400（芝）（牝）</t>
  </si>
  <si>
    <t>2,200（芝）</t>
  </si>
  <si>
    <t>清洲特別</t>
  </si>
  <si>
    <t>長篠ステークス</t>
  </si>
  <si>
    <t>1,400（芝）定量</t>
  </si>
  <si>
    <t>桑名特別</t>
  </si>
  <si>
    <t>1,800（ダ）（牝）定量</t>
  </si>
  <si>
    <t>1,400（ダ）定量</t>
  </si>
  <si>
    <t>1,600（芝）定量</t>
  </si>
  <si>
    <t>3回新潟3日</t>
  </si>
  <si>
    <t>1,600（芝・外）</t>
  </si>
  <si>
    <t>新発田城特別</t>
  </si>
  <si>
    <t>赤倉特別</t>
  </si>
  <si>
    <t>2,000（芝・外）ハンデ</t>
  </si>
  <si>
    <t>BSN賞（L）</t>
  </si>
  <si>
    <t>1,200（ダ）</t>
  </si>
  <si>
    <t>2回札幌2日</t>
  </si>
  <si>
    <t>1,000（ダ）（牝）</t>
  </si>
  <si>
    <t>2,400（ダ）定量</t>
  </si>
  <si>
    <t>ルスツ特別</t>
  </si>
  <si>
    <t>2026ワールドオールスタージョッキーズ 第3戦</t>
  </si>
  <si>
    <t>1,700（ダ）（国際騎手招待）定量</t>
  </si>
  <si>
    <t>サマースプリントシリーズ</t>
  </si>
  <si>
    <t>第21回 キーンランドカップ（GⅢ）</t>
  </si>
  <si>
    <t>2026ワールドオールスタージョッキーズ 第4戦</t>
  </si>
  <si>
    <t>1,800（芝）（国際騎手招待）定量</t>
  </si>
  <si>
    <t>3回中京2日</t>
  </si>
  <si>
    <t>1,900（ダ）</t>
  </si>
  <si>
    <t>2,000（芝）（牝）定量</t>
  </si>
  <si>
    <t>有松特別</t>
  </si>
  <si>
    <t>名古屋城ステークス</t>
  </si>
  <si>
    <t>1,800（ダ）ハンデ</t>
  </si>
  <si>
    <t>豊川特別</t>
  </si>
  <si>
    <t>3,000（芝）定量</t>
  </si>
  <si>
    <t>3回新潟2日</t>
  </si>
  <si>
    <t>1,600（芝・外）（牝）</t>
  </si>
  <si>
    <t>1,800（芝・外）（牝）</t>
  </si>
  <si>
    <t>古町ステークス</t>
  </si>
  <si>
    <t>第46回 新潟2歳ステークス（GⅢ）</t>
  </si>
  <si>
    <t>飯豊特別</t>
  </si>
  <si>
    <t>2,000（芝・外）定量</t>
  </si>
  <si>
    <t>2回札幌1日</t>
  </si>
  <si>
    <t>2,600（芝）</t>
  </si>
  <si>
    <t>クローバー賞</t>
  </si>
  <si>
    <t>1,500（芝）別定</t>
  </si>
  <si>
    <t>2026ワールドオールスタージョッキーズ 第1戦</t>
  </si>
  <si>
    <t>1,200（芝）（国際騎手招待）定量</t>
  </si>
  <si>
    <t>2026ワールドオールスタージョッキーズ 第2戦</t>
  </si>
  <si>
    <t>2,000（芝）（国際騎手招待）定量</t>
  </si>
  <si>
    <t>ニセコ特別</t>
  </si>
  <si>
    <t>3回中京1日</t>
  </si>
  <si>
    <t>1,400（ダ）（牝）</t>
  </si>
  <si>
    <t>大府特別</t>
  </si>
  <si>
    <t>伊賀ステークス</t>
  </si>
  <si>
    <t>瀬戸特別</t>
  </si>
  <si>
    <t>1,900（ダ）定量</t>
  </si>
  <si>
    <t>障害3歳以上オープン</t>
  </si>
  <si>
    <t>3,330（芝）別定</t>
  </si>
  <si>
    <t>3回新潟1日</t>
  </si>
  <si>
    <t>長岡ステークス</t>
  </si>
  <si>
    <t>1,600（芝・外）ハンデ</t>
  </si>
  <si>
    <t>朱鷺ステークス（L）</t>
  </si>
  <si>
    <t>1,400（芝）別定</t>
  </si>
  <si>
    <t>岩室温泉特別</t>
  </si>
  <si>
    <t>1,600（芝・外）定量</t>
  </si>
  <si>
    <t>1回札幌8日</t>
  </si>
  <si>
    <t>小樽特別</t>
  </si>
  <si>
    <t>大通公園特別</t>
  </si>
  <si>
    <t>第62回 札幌記念（GⅡ）</t>
  </si>
  <si>
    <t>阿寒湖特別</t>
  </si>
  <si>
    <t>2回中京8日</t>
  </si>
  <si>
    <t>長久手特別</t>
  </si>
  <si>
    <t>サマーマイルシリーズ</t>
  </si>
  <si>
    <t>第74回 中京記念（GⅢ）</t>
  </si>
  <si>
    <t>1,600（芝）別定</t>
  </si>
  <si>
    <t>大垣特別</t>
  </si>
  <si>
    <t>2回新潟8日</t>
  </si>
  <si>
    <t>2,400（芝）</t>
  </si>
  <si>
    <t>1,800（芝・外）定量</t>
  </si>
  <si>
    <t>稲妻ステークス</t>
  </si>
  <si>
    <t>NST賞</t>
  </si>
  <si>
    <t>1,200（ダ）ハンデ</t>
  </si>
  <si>
    <t>瀬波温泉特別</t>
  </si>
  <si>
    <t>2,400（芝）定量</t>
  </si>
  <si>
    <t>1回札幌7日</t>
  </si>
  <si>
    <t>2,400（ダ）</t>
  </si>
  <si>
    <t>コスモス賞</t>
  </si>
  <si>
    <t>1,800（芝）別定</t>
  </si>
  <si>
    <t>知床特別</t>
  </si>
  <si>
    <t>1,200（芝）（牝）定量</t>
  </si>
  <si>
    <t>報知杯大雪ハンデキャップ</t>
  </si>
  <si>
    <t>1,700（ダ）ハンデ</t>
  </si>
  <si>
    <t>積丹特別</t>
  </si>
  <si>
    <t>2回中京7日</t>
  </si>
  <si>
    <t>知多特別</t>
  </si>
  <si>
    <t>高山ステークス</t>
  </si>
  <si>
    <t>2,000（芝）ハンデ</t>
  </si>
  <si>
    <t>常滑特別</t>
  </si>
  <si>
    <t>2回新潟7日</t>
  </si>
  <si>
    <t>阿賀野川特別</t>
  </si>
  <si>
    <t>上越ステークス</t>
  </si>
  <si>
    <t>三国特別</t>
  </si>
  <si>
    <t>第28回 新潟ジャンプステークス（J・GⅢ）</t>
  </si>
  <si>
    <t>3,250（芝・外→内）別定</t>
  </si>
  <si>
    <t>1,000（芝・直）</t>
  </si>
  <si>
    <t>1回札幌6日</t>
  </si>
  <si>
    <t>富良野特別</t>
  </si>
  <si>
    <t>UHB賞</t>
  </si>
  <si>
    <t>石狩特別</t>
  </si>
  <si>
    <t>2回中京6日</t>
  </si>
  <si>
    <t>1,600（芝）（牝）</t>
  </si>
  <si>
    <t>浜名湖特別</t>
  </si>
  <si>
    <t>第62回 CBC賞（GⅢ）</t>
  </si>
  <si>
    <t>揖斐川特別</t>
  </si>
  <si>
    <t>2回新潟6日</t>
  </si>
  <si>
    <t>1,200（ダ）（牝）</t>
  </si>
  <si>
    <t>佐渡ステークス</t>
  </si>
  <si>
    <t>第18回 レパードステークス（GⅢ）</t>
  </si>
  <si>
    <t>3歳オープン</t>
  </si>
  <si>
    <t>驀進特別</t>
  </si>
  <si>
    <t>1回札幌5日</t>
  </si>
  <si>
    <t>2,000（芝）（牝）</t>
  </si>
  <si>
    <t>藻岩山特別</t>
  </si>
  <si>
    <t>第31回 エルムステークス（GⅢ）</t>
  </si>
  <si>
    <t>1,700（ダ）別定</t>
  </si>
  <si>
    <t>摩周湖特別</t>
  </si>
  <si>
    <t>2回中京5日</t>
  </si>
  <si>
    <t>納屋橋特別</t>
  </si>
  <si>
    <t>三河ステークス</t>
  </si>
  <si>
    <t>恵那特別</t>
  </si>
  <si>
    <t>3,000（芝）別定</t>
  </si>
  <si>
    <t>2回新潟5日</t>
  </si>
  <si>
    <t>三面川特別</t>
  </si>
  <si>
    <t>関越ステークス</t>
  </si>
  <si>
    <t>1,800（芝・外）ハンデ</t>
  </si>
  <si>
    <t>ダリア賞</t>
  </si>
  <si>
    <t>3回中山5日</t>
  </si>
  <si>
    <t>障害4歳以上オープン</t>
  </si>
  <si>
    <t>3,200（ダ）別定</t>
  </si>
  <si>
    <t>3歳1勝クラス</t>
  </si>
  <si>
    <t>4歳以上1勝クラス</t>
  </si>
  <si>
    <t>山藤賞</t>
  </si>
  <si>
    <t>卯月ステークス</t>
  </si>
  <si>
    <t>4歳以上3勝クラス</t>
  </si>
  <si>
    <t>第44回 ニュージーランドトロフィー（GⅡ）</t>
  </si>
  <si>
    <t>（NHKマイルカップトライアル）</t>
  </si>
  <si>
    <t>1,600（芝・外）牡・牝</t>
  </si>
  <si>
    <t>4歳以上2勝クラス</t>
  </si>
  <si>
    <t>1,200（ダ）（牝）定量</t>
  </si>
  <si>
    <t>3回中山6日</t>
  </si>
  <si>
    <t>障害4歳以上未勝利</t>
  </si>
  <si>
    <t>2,880（ダ）定量</t>
  </si>
  <si>
    <t>2,200（芝・外）</t>
  </si>
  <si>
    <t>印西特別</t>
  </si>
  <si>
    <t>2,400（ダ）ハンデ</t>
  </si>
  <si>
    <t>あけぼのステークス</t>
  </si>
  <si>
    <t>春雷ステークス（L）</t>
  </si>
  <si>
    <t>4歳以上オープン</t>
  </si>
  <si>
    <t>1,200（芝・外）ハンデ</t>
  </si>
  <si>
    <t>2回阪神5日</t>
  </si>
  <si>
    <t>明石特別</t>
  </si>
  <si>
    <t>2,400（芝・外）定量</t>
  </si>
  <si>
    <t>大阪―ハンブルクカップ</t>
  </si>
  <si>
    <t>2,600（芝・外）ハンデ</t>
  </si>
  <si>
    <t>第69回 サンケイスポーツ杯</t>
  </si>
  <si>
    <t>阪神牝馬ステークス（GⅡ）</t>
  </si>
  <si>
    <t>1,600（芝・外）（牝）別定</t>
  </si>
  <si>
    <t>1回福島1日</t>
  </si>
  <si>
    <t>1,800（芝）（牝）</t>
  </si>
  <si>
    <t>1,150（ダ）</t>
  </si>
  <si>
    <t>4歳以上1勝クラス　</t>
  </si>
  <si>
    <t>1,700（ダ）（若手騎手）定量</t>
  </si>
  <si>
    <t>1,150（ダ）定量</t>
  </si>
  <si>
    <t>浄土平特別</t>
  </si>
  <si>
    <t>花見山特別</t>
  </si>
  <si>
    <t>吾妻小富士ステークス</t>
  </si>
  <si>
    <t>2回阪神6日</t>
  </si>
  <si>
    <t>川西特別</t>
  </si>
  <si>
    <t>忘れな草賞（L）</t>
  </si>
  <si>
    <t>2,000（芝）（牝）別定</t>
  </si>
  <si>
    <t>京橋ステークス</t>
  </si>
  <si>
    <t>第86回 桜花賞（GⅠ）</t>
  </si>
  <si>
    <t>梅田ステークス</t>
  </si>
  <si>
    <t>2,000（ダ）定量</t>
  </si>
  <si>
    <t>1回福島2日</t>
  </si>
  <si>
    <t>2,000（芝）（若手騎手）定量</t>
  </si>
  <si>
    <t>喜多方特別</t>
  </si>
  <si>
    <t>福島民報杯（L）</t>
  </si>
  <si>
    <t>2,000（芝）別定</t>
  </si>
  <si>
    <t>燧ヶ岳特別</t>
    <phoneticPr fontId="1"/>
  </si>
  <si>
    <t>レース名</t>
  </si>
  <si>
    <t>馬齢</t>
  </si>
  <si>
    <t>回</t>
  </si>
  <si>
    <t>日</t>
  </si>
  <si>
    <t>参照するシート：</t>
  </si>
  <si>
    <t>クラス</t>
  </si>
  <si>
    <t>場</t>
  </si>
  <si>
    <t>距離</t>
  </si>
  <si>
    <t>性別</t>
  </si>
  <si>
    <t>検索する開催：</t>
    <rPh sb="4" eb="6">
      <t>カイサイ</t>
    </rPh>
    <phoneticPr fontId="1"/>
  </si>
  <si>
    <t>検索結果(列)：</t>
    <rPh sb="2" eb="4">
      <t>ケッカ</t>
    </rPh>
    <rPh sb="5" eb="6">
      <t>レツ</t>
    </rPh>
    <phoneticPr fontId="1"/>
  </si>
  <si>
    <t>検索結果(行)：</t>
    <rPh sb="0" eb="2">
      <t>ケンサク</t>
    </rPh>
    <rPh sb="2" eb="4">
      <t>ケッカ</t>
    </rPh>
    <rPh sb="5" eb="6">
      <t>ギョウ</t>
    </rPh>
    <phoneticPr fontId="1"/>
  </si>
  <si>
    <t>3回中山1日</t>
  </si>
  <si>
    <t>ブラッドストーンステークス</t>
  </si>
  <si>
    <t>伏竜ステークス</t>
  </si>
  <si>
    <t>1,800（ダ）別定</t>
  </si>
  <si>
    <t>第74回 日経賞（GⅡ）</t>
  </si>
  <si>
    <t>2,500（芝）別定</t>
  </si>
  <si>
    <t>2回阪神1日</t>
  </si>
  <si>
    <t>1,400（ダ）（牝）定量</t>
  </si>
  <si>
    <t>三木ホースランドパークジャンプステークス</t>
  </si>
  <si>
    <t>3,140（芝）別定</t>
  </si>
  <si>
    <t>君子蘭賞</t>
  </si>
  <si>
    <t>ラジオ関西賞 仲春特別</t>
  </si>
  <si>
    <t>1,400（芝）ハンデ</t>
  </si>
  <si>
    <t>第73回 毎日杯（GⅢ）</t>
  </si>
  <si>
    <t>1回中京5日</t>
  </si>
  <si>
    <t>1,800（ダ）（若手騎手）</t>
  </si>
  <si>
    <t>1,600（芝）（牝）定量</t>
  </si>
  <si>
    <t>ロイヤルバンコクスポーツクラブ賞</t>
  </si>
  <si>
    <t>ターフオーソリティーオブインディア賞</t>
  </si>
  <si>
    <t>マレーシアカップ</t>
  </si>
  <si>
    <t>フィリピントロフィー</t>
  </si>
  <si>
    <t>1,400（芝）（牝）定量</t>
  </si>
  <si>
    <t>3回中山2日</t>
  </si>
  <si>
    <t>ミモザ賞</t>
  </si>
  <si>
    <t>船橋ステークス</t>
  </si>
  <si>
    <t>1,200（芝・外）定量</t>
  </si>
  <si>
    <t>第33回 マーチステークス（GⅢ）</t>
  </si>
  <si>
    <t>2回阪神2日</t>
  </si>
  <si>
    <t>2,000（ダ）</t>
  </si>
  <si>
    <t>2,970（ダ）定量</t>
  </si>
  <si>
    <t>四国新聞杯</t>
  </si>
  <si>
    <t>御堂筋ステークス</t>
  </si>
  <si>
    <t>六甲ステークス（L）</t>
  </si>
  <si>
    <t>1,600（芝・外）別定</t>
  </si>
  <si>
    <t>大寒桜賞</t>
  </si>
  <si>
    <t>伊勢ステークス</t>
  </si>
  <si>
    <t>第56回 高松宮記念（GⅠ）</t>
  </si>
  <si>
    <t>鈴鹿特別</t>
  </si>
  <si>
    <t>1回中京6日</t>
    <phoneticPr fontId="1"/>
  </si>
  <si>
    <t>3回中山3日</t>
  </si>
  <si>
    <t>山吹賞</t>
  </si>
  <si>
    <t>千葉日報杯</t>
  </si>
  <si>
    <t>第58回 ダービー卿チャレンジトロフィー（GⅢ）</t>
  </si>
  <si>
    <t>2回阪神3日</t>
  </si>
  <si>
    <t>アザレア賞</t>
  </si>
  <si>
    <t>2,400（芝・外）</t>
  </si>
  <si>
    <t>ポラリスステークス</t>
  </si>
  <si>
    <t>1,400（ダ）ハンデ</t>
  </si>
  <si>
    <t>第35回 チャーチルダウンズカップ（GⅢ）</t>
  </si>
  <si>
    <t>3回中山4日</t>
  </si>
  <si>
    <t>1,200（芝・外）</t>
  </si>
  <si>
    <t>安房特別</t>
  </si>
  <si>
    <t>2,500（芝）定量</t>
  </si>
  <si>
    <t>アリエスステークス</t>
  </si>
  <si>
    <t>美浦ステークス</t>
  </si>
  <si>
    <t>2回阪神4日</t>
  </si>
  <si>
    <t>バイオレットステークス</t>
  </si>
  <si>
    <t>1,400（ダ）別定</t>
  </si>
  <si>
    <t>心斎橋ステークス</t>
  </si>
  <si>
    <t>第70回 大阪杯（GⅠ）</t>
  </si>
  <si>
    <t>天満橋ステークス</t>
  </si>
  <si>
    <t>3回中山7日</t>
  </si>
  <si>
    <t>袖ケ浦特別</t>
  </si>
  <si>
    <t>下総ステークス</t>
  </si>
  <si>
    <t>第28回 農林水産省賞典</t>
  </si>
  <si>
    <t>中山グランドジャンプ（J・GⅠ）</t>
  </si>
  <si>
    <t>4,260（芝・外）定量</t>
  </si>
  <si>
    <t>葛飾特別</t>
  </si>
  <si>
    <t>2回阪神7日</t>
  </si>
  <si>
    <t>吹田特別</t>
  </si>
  <si>
    <t>丹波特別</t>
  </si>
  <si>
    <t>第31回 アンタレスステークス（GⅢ）</t>
  </si>
  <si>
    <t>1回福島3日</t>
  </si>
  <si>
    <t>1,800（芝）（若手騎手）</t>
  </si>
  <si>
    <t>1,150（ダ）（牝）定量</t>
  </si>
  <si>
    <t>ひめさゆり賞</t>
  </si>
  <si>
    <t>桑折特別</t>
  </si>
  <si>
    <t>ラジオ福島賞</t>
  </si>
  <si>
    <t>3回中山8日</t>
  </si>
  <si>
    <t>利根川特別</t>
  </si>
  <si>
    <t>野島崎特別</t>
  </si>
  <si>
    <t>京葉ステークス（L）</t>
  </si>
  <si>
    <t>1,200（ダ）別定</t>
  </si>
  <si>
    <t>第86回 皐月賞（GⅠ）</t>
  </si>
  <si>
    <t>2,000（芝）牡・牝</t>
  </si>
  <si>
    <t>サンシャインステークス</t>
  </si>
  <si>
    <t>2,200（芝・外）ハンデ</t>
  </si>
  <si>
    <t>2回阪神8日</t>
  </si>
  <si>
    <t>蓬莱峡特別</t>
  </si>
  <si>
    <t>陽春ステークス</t>
  </si>
  <si>
    <t>立雲峡ステークス</t>
  </si>
  <si>
    <t>1回福島4日</t>
  </si>
  <si>
    <t>須賀川特別</t>
  </si>
  <si>
    <t>奥の細道特別</t>
  </si>
  <si>
    <t>第23回 福島牝馬ステークス（GⅢ）</t>
  </si>
  <si>
    <t>1,800（芝）（牝）別定</t>
  </si>
  <si>
    <t>2回東京1日</t>
  </si>
  <si>
    <t>1,600（ダ）（牝）</t>
  </si>
  <si>
    <t>2,100（ダ）</t>
  </si>
  <si>
    <t>1,600（ダ）</t>
  </si>
  <si>
    <t>石和特別</t>
  </si>
  <si>
    <t>鎌倉ステークス</t>
  </si>
  <si>
    <t>第33回 テレビ東京杯</t>
  </si>
  <si>
    <t>青葉賞（GⅡ）</t>
  </si>
  <si>
    <t>（ダービートライアル）</t>
  </si>
  <si>
    <t>1,600（ダ）定量</t>
  </si>
  <si>
    <t>3回京都1日</t>
  </si>
  <si>
    <t>3,170（ダ）別定</t>
  </si>
  <si>
    <t>1,400（芝・外）定量</t>
  </si>
  <si>
    <t>あやめ賞</t>
  </si>
  <si>
    <t>観月橋ステークス</t>
  </si>
  <si>
    <t>天王山ステークス</t>
  </si>
  <si>
    <t>1回福島5日</t>
  </si>
  <si>
    <t>1,200（芝）（若手騎手）定量</t>
  </si>
  <si>
    <t>雪うさぎ賞</t>
  </si>
  <si>
    <t>医王寺特別</t>
  </si>
  <si>
    <t>福島中央テレビ杯</t>
  </si>
  <si>
    <t>1回福島6日</t>
  </si>
  <si>
    <t>1,150（ダ）（牝）</t>
  </si>
  <si>
    <t>1,700（ダ）（若手騎手）</t>
  </si>
  <si>
    <t>1,200（芝）（牝）</t>
  </si>
  <si>
    <t>飯盛山特別</t>
  </si>
  <si>
    <t>尾瀬特別</t>
  </si>
  <si>
    <t>モルガナイトステークス</t>
  </si>
  <si>
    <t>3回京都2日</t>
  </si>
  <si>
    <t>2,910（ダ）定量</t>
  </si>
  <si>
    <t>比良山特別</t>
  </si>
  <si>
    <t>センテニアル・パークステークス</t>
  </si>
  <si>
    <t>第57回 読売マイラーズカップ（GⅡ）</t>
  </si>
  <si>
    <t>2回東京2日</t>
  </si>
  <si>
    <t>1,300（ダ）</t>
  </si>
  <si>
    <t>湘南ステークス</t>
  </si>
  <si>
    <t>オアシスステークス（L）</t>
  </si>
  <si>
    <t>1,600（ダ）ハンデ</t>
  </si>
  <si>
    <t>第61回 サンケイスポーツ賞</t>
  </si>
  <si>
    <t>フローラステークス（GⅡ）</t>
  </si>
  <si>
    <t>（オークストライアル）</t>
  </si>
  <si>
    <t>2回東京3日</t>
  </si>
  <si>
    <t>是政ステークス</t>
  </si>
  <si>
    <t>2,100（ダ）定量</t>
  </si>
  <si>
    <t>スイートピーステークス（L）</t>
  </si>
  <si>
    <t>第71回 京王杯スプリングカップ（GⅡ）</t>
  </si>
  <si>
    <t>3回京都3日</t>
  </si>
  <si>
    <t>1,400（芝・外）</t>
  </si>
  <si>
    <t>矢車賞</t>
  </si>
  <si>
    <t>2,200（芝・外）（牝）</t>
  </si>
  <si>
    <t>京極特別</t>
  </si>
  <si>
    <t>第31回 ユニコーンステークス（GⅢ）</t>
  </si>
  <si>
    <t>1回新潟1日</t>
  </si>
  <si>
    <t>2,890（芝・外→内）定量</t>
  </si>
  <si>
    <t>1,200（ダ）（若手騎手）</t>
  </si>
  <si>
    <t>2,890（芝・外→内）別定</t>
  </si>
  <si>
    <t>わらび賞</t>
  </si>
  <si>
    <t>胎内川特別</t>
  </si>
  <si>
    <t>三条ステークス</t>
  </si>
  <si>
    <t>2回東京4日</t>
  </si>
  <si>
    <t>府中ステークス</t>
  </si>
  <si>
    <t>ブリリアントステークス（L）</t>
  </si>
  <si>
    <t>2,100（ダ）ハンデ</t>
  </si>
  <si>
    <t>プリンシパルステークス（L）</t>
  </si>
  <si>
    <t>1,300（ダ）定量</t>
  </si>
  <si>
    <t>3回京都4日</t>
  </si>
  <si>
    <t>御池特別</t>
  </si>
  <si>
    <t>六波羅特別</t>
  </si>
  <si>
    <t>朱雀ステークス</t>
  </si>
  <si>
    <t>第173回 天皇賞（春）（GⅠ）</t>
  </si>
  <si>
    <t>3,200（芝・外）定量</t>
  </si>
  <si>
    <t>東大路ステークス</t>
  </si>
  <si>
    <t>1回新潟2日</t>
  </si>
  <si>
    <t>1,800（ダ）（若手騎手）定量</t>
  </si>
  <si>
    <t>咲花特別</t>
  </si>
  <si>
    <t>邁進特別</t>
  </si>
  <si>
    <t>1,000（芝・直）ハンデ</t>
  </si>
  <si>
    <t>越後ステークス</t>
  </si>
  <si>
    <t>2回東京5日</t>
  </si>
  <si>
    <t>分倍河原ステークス</t>
  </si>
  <si>
    <t>青竜ステークス</t>
  </si>
  <si>
    <t>1,600（ダ）別定</t>
  </si>
  <si>
    <t>第43回 エプソムカップ（GⅢ）</t>
  </si>
  <si>
    <t>3回京都5日</t>
  </si>
  <si>
    <t>久御山特別</t>
  </si>
  <si>
    <t>鴨川特別</t>
  </si>
  <si>
    <t>第74回 京都新聞杯（GⅡ）</t>
  </si>
  <si>
    <t>1回新潟3日</t>
  </si>
  <si>
    <t>1,200（芝）（若手騎手）</t>
  </si>
  <si>
    <t>ゆきつばき賞</t>
  </si>
  <si>
    <t>粟島特別</t>
  </si>
  <si>
    <t>駿風ステークス</t>
  </si>
  <si>
    <t>2回東京6日</t>
  </si>
  <si>
    <t>日吉特別</t>
  </si>
  <si>
    <t>メトロポリタンステークス（L）</t>
  </si>
  <si>
    <t>2,400（芝）別定</t>
  </si>
  <si>
    <t>第31回 NHKマイルカップ（GⅠ）</t>
  </si>
  <si>
    <t>1,600（芝）牡・牝</t>
  </si>
  <si>
    <t>立夏ステークス</t>
  </si>
  <si>
    <t>3回京都6日</t>
  </si>
  <si>
    <t>2,200（芝・外）定量</t>
  </si>
  <si>
    <t>烏丸ステークス</t>
  </si>
  <si>
    <t>2,400（芝・外）ハンデ</t>
  </si>
  <si>
    <t>橘ステークス（L）</t>
  </si>
  <si>
    <t>1,400（芝・外）別定</t>
  </si>
  <si>
    <t>平城京ステークス</t>
  </si>
  <si>
    <t>1回新潟4日</t>
  </si>
  <si>
    <t>1,200（ダ）（若手騎手）定量</t>
  </si>
  <si>
    <t>荒川峡特別</t>
  </si>
  <si>
    <t>五泉特別</t>
  </si>
  <si>
    <t>谷川岳ステークス（L）</t>
  </si>
  <si>
    <t>2回東京7日</t>
  </si>
  <si>
    <t>調布特別</t>
  </si>
  <si>
    <t>立川特別</t>
  </si>
  <si>
    <t>六社ステークス</t>
  </si>
  <si>
    <t>1,600（ダ）（牝）定量</t>
  </si>
  <si>
    <t>3回京都7日</t>
  </si>
  <si>
    <t>第28回 京都ハイジャンプ（J・GⅡ）</t>
  </si>
  <si>
    <t>3,930（芝）別定</t>
  </si>
  <si>
    <t>あずさ賞</t>
  </si>
  <si>
    <t>上賀茂ステークス</t>
  </si>
  <si>
    <t>鞍馬ステークス</t>
  </si>
  <si>
    <t>1回新潟5日</t>
  </si>
  <si>
    <t>石打特別</t>
  </si>
  <si>
    <t>中ノ岳特別</t>
  </si>
  <si>
    <t>第48回 新潟大賞典（GⅢ）</t>
  </si>
  <si>
    <t>2回東京8日</t>
  </si>
  <si>
    <t>テレ玉杯</t>
  </si>
  <si>
    <t>青梅特別</t>
  </si>
  <si>
    <t>第21回 ヴィクトリアマイル（GⅠ）</t>
  </si>
  <si>
    <t>BSイレブン賞</t>
  </si>
  <si>
    <t>3回京都8日</t>
  </si>
  <si>
    <t>白川特別</t>
  </si>
  <si>
    <t>錦ステークス</t>
  </si>
  <si>
    <t>栗東ステークス（L）</t>
  </si>
  <si>
    <t>1回新潟6日</t>
  </si>
  <si>
    <t>2,000（芝）（若手騎手）</t>
  </si>
  <si>
    <t>飛竜特別</t>
  </si>
  <si>
    <t>信濃川特別</t>
  </si>
  <si>
    <t>弥彦ステークス</t>
  </si>
  <si>
    <t>2回東京9日</t>
  </si>
  <si>
    <t>カーネーションカップ</t>
  </si>
  <si>
    <t>高尾特別</t>
  </si>
  <si>
    <t>欅ステークス</t>
  </si>
  <si>
    <t>3回京都9日</t>
  </si>
  <si>
    <t>メルボルントロフィー</t>
  </si>
  <si>
    <t>オーストラリアターフクラブ賞</t>
  </si>
  <si>
    <t>シドニートロフィー</t>
  </si>
  <si>
    <t>第33回 平安ステークス（GⅢ）</t>
  </si>
  <si>
    <t>1,900（ダ）別定</t>
  </si>
  <si>
    <t>レーシングオーストラリア賞</t>
  </si>
  <si>
    <t>オーストラリアトロフィー</t>
  </si>
  <si>
    <t>1回新潟7日</t>
  </si>
  <si>
    <t>3,290（芝・外→内）別定</t>
  </si>
  <si>
    <t>はやぶさ賞</t>
  </si>
  <si>
    <t>尖閣湾特別</t>
  </si>
  <si>
    <t>大日岳特別</t>
  </si>
  <si>
    <t>2回東京10日</t>
  </si>
  <si>
    <t>三峰山特別</t>
  </si>
  <si>
    <t>国分寺特別</t>
  </si>
  <si>
    <t>1,800（芝）ハンデ</t>
  </si>
  <si>
    <t>フリーウェイステークス</t>
  </si>
  <si>
    <t>優駿牝馬（GⅠ）</t>
  </si>
  <si>
    <t>（第87回 オークス）</t>
  </si>
  <si>
    <t>2,400（芝）（牝）</t>
  </si>
  <si>
    <t>丹沢ステークス</t>
  </si>
  <si>
    <t>3回京都10日</t>
  </si>
  <si>
    <t>聖護院特別</t>
  </si>
  <si>
    <t>高瀬川ステークス</t>
  </si>
  <si>
    <t>都大路ステークス（L）</t>
  </si>
  <si>
    <t>1回新潟8日</t>
  </si>
  <si>
    <t>二王子特別</t>
  </si>
  <si>
    <t>火打山特別</t>
  </si>
  <si>
    <t>韋駄天ステークス</t>
  </si>
  <si>
    <t>2回東京11日</t>
  </si>
  <si>
    <t>3,000（ダ）定量</t>
  </si>
  <si>
    <t>富嶽賞</t>
  </si>
  <si>
    <t>葉山特別</t>
  </si>
  <si>
    <t>アハルテケステークス</t>
  </si>
  <si>
    <t>3回京都11日</t>
  </si>
  <si>
    <t>鳳雛ステークス（L）</t>
  </si>
  <si>
    <t>桃山ステークス</t>
  </si>
  <si>
    <t>第9回 葵ステークス（GⅢ）</t>
  </si>
  <si>
    <t>2回東京12日</t>
  </si>
  <si>
    <t>青嵐賞</t>
  </si>
  <si>
    <t>薫風ステークス</t>
  </si>
  <si>
    <t>むらさき賞</t>
  </si>
  <si>
    <t>東京優駿（GⅠ）</t>
  </si>
  <si>
    <t>（第93回 日本ダービー）</t>
  </si>
  <si>
    <t>2,400（芝）牡・牝</t>
  </si>
  <si>
    <t>第140回 農林水産省賞典</t>
  </si>
  <si>
    <t>目黒記念（GⅡ）</t>
  </si>
  <si>
    <t>2,500（芝）ハンデ</t>
  </si>
  <si>
    <t>3回京都12日</t>
  </si>
  <si>
    <t>與杼特別</t>
  </si>
  <si>
    <t>安土城ステークス（L）</t>
  </si>
  <si>
    <t>1,400（芝・外）ハンデ</t>
  </si>
  <si>
    <t>白百合ステークス（L）</t>
  </si>
  <si>
    <t>1,800（芝・外）別定</t>
  </si>
  <si>
    <t>渡月橋ステークス</t>
  </si>
  <si>
    <t>3回東京1日</t>
  </si>
  <si>
    <t>稲城特別</t>
  </si>
  <si>
    <t>テレビ山梨杯</t>
  </si>
  <si>
    <t>麦秋ステークス</t>
  </si>
  <si>
    <t>3回阪神1日</t>
  </si>
  <si>
    <t>城崎特別</t>
  </si>
  <si>
    <t>加古川特別</t>
  </si>
  <si>
    <t>垂水ステークス</t>
  </si>
  <si>
    <t>3回東京2日</t>
  </si>
  <si>
    <t>香港ジョッキークラブトロフィー</t>
  </si>
  <si>
    <t>八王子特別</t>
  </si>
  <si>
    <t>第76回 農林水産省賞典</t>
  </si>
  <si>
    <t>安田記念（GⅠ）</t>
  </si>
  <si>
    <t>小金井特別</t>
  </si>
  <si>
    <t>3回阪神2日</t>
  </si>
  <si>
    <t>洲本特別</t>
  </si>
  <si>
    <t>三木特別</t>
  </si>
  <si>
    <t>水無月ステークス</t>
  </si>
  <si>
    <t>3回東京3日</t>
  </si>
  <si>
    <t>第28回 東京ジャンプステークス（J・GⅢ）</t>
  </si>
  <si>
    <t>3,110（芝）別定</t>
  </si>
  <si>
    <t>日野特別</t>
  </si>
  <si>
    <t>夏至ステークス</t>
  </si>
  <si>
    <t>ジューンステークス</t>
  </si>
  <si>
    <t>3回阪神3日</t>
  </si>
  <si>
    <t>1,600（芝・外）（牝）定量</t>
  </si>
  <si>
    <t>三田特別</t>
  </si>
  <si>
    <t>安芸特別</t>
  </si>
  <si>
    <t>三宮ステークス</t>
  </si>
  <si>
    <t>1回函館1日</t>
  </si>
  <si>
    <t>奥尻特別</t>
  </si>
  <si>
    <t>松前特別</t>
  </si>
  <si>
    <t>第33回 函館スプリントステークス（GⅢ）</t>
  </si>
  <si>
    <t>3回東京4日</t>
  </si>
  <si>
    <t>芦ノ湖特別</t>
  </si>
  <si>
    <t>江の島ステークス</t>
  </si>
  <si>
    <t>ウッドバイン競馬場賞</t>
  </si>
  <si>
    <t>パラダイスステークス（L）</t>
  </si>
  <si>
    <t>3回阪神4日</t>
  </si>
  <si>
    <t>逆瀬川特別</t>
  </si>
  <si>
    <t>武庫川特別</t>
  </si>
  <si>
    <t>花のみちステークス</t>
  </si>
  <si>
    <t>第67回 宝塚記念（GⅠ）</t>
  </si>
  <si>
    <t>リボン賞</t>
  </si>
  <si>
    <t>1回函館2日</t>
  </si>
  <si>
    <t>1,000（芝）</t>
  </si>
  <si>
    <t>1,000（ダ）（牝）定量</t>
  </si>
  <si>
    <t>八雲特別</t>
  </si>
  <si>
    <t>ウインズ津軽20周年記念</t>
  </si>
  <si>
    <t>津軽海峡特別</t>
  </si>
  <si>
    <t>函館日刊スポーツ杯</t>
  </si>
  <si>
    <t>3回東京5日</t>
  </si>
  <si>
    <t>町田特別</t>
  </si>
  <si>
    <t>2,400（芝）ハンデ</t>
  </si>
  <si>
    <t>相模湖特別</t>
  </si>
  <si>
    <t>スレイプニルステークス</t>
  </si>
  <si>
    <t>2,100（ダ）別定</t>
  </si>
  <si>
    <t>3回阪神5日</t>
  </si>
  <si>
    <t>3,110（ダ）別定</t>
  </si>
  <si>
    <t>舞子特別</t>
  </si>
  <si>
    <t>ストークステークス</t>
  </si>
  <si>
    <t>2,200（芝）ハンデ</t>
  </si>
  <si>
    <t>天保山ステークス</t>
  </si>
  <si>
    <t>1回函館3日</t>
  </si>
  <si>
    <t>下北半島特別</t>
  </si>
  <si>
    <t>駒ケ岳特別</t>
  </si>
  <si>
    <t>STV杯</t>
  </si>
  <si>
    <t>3回東京6日</t>
  </si>
  <si>
    <t>甲州街道特別</t>
  </si>
  <si>
    <t>多摩川ステークス</t>
  </si>
  <si>
    <t>第74回 府中牝馬ステークス（GⅢ）</t>
  </si>
  <si>
    <t>1,800（芝）（牝）ハンデ</t>
  </si>
  <si>
    <t>3回阪神6日</t>
  </si>
  <si>
    <t>高砂特別</t>
  </si>
  <si>
    <t>姫路ステークス</t>
  </si>
  <si>
    <t>第2回 しらさぎステークス（GⅢ）</t>
  </si>
  <si>
    <t>1回函館4日</t>
  </si>
  <si>
    <t>遊楽部特別</t>
  </si>
  <si>
    <t>檜山特別</t>
  </si>
  <si>
    <t>UHB杯</t>
  </si>
  <si>
    <t>2回福島1日</t>
  </si>
  <si>
    <t>2,750（芝）定量</t>
  </si>
  <si>
    <t>2,750（芝）別定</t>
  </si>
  <si>
    <t>さくらんぼ特別</t>
  </si>
  <si>
    <t>いわき特別</t>
  </si>
  <si>
    <t>バーデンバーデンカップ</t>
  </si>
  <si>
    <t>2回小倉1日</t>
  </si>
  <si>
    <t>1,200（芝）（九州産馬）</t>
  </si>
  <si>
    <t>八代特別</t>
  </si>
  <si>
    <t>宗像特別</t>
  </si>
  <si>
    <t>薩摩ステークス</t>
  </si>
  <si>
    <t>1回函館5日</t>
  </si>
  <si>
    <t>長万部特別</t>
  </si>
  <si>
    <t>洞爺湖特別</t>
  </si>
  <si>
    <t>青函ステークス</t>
  </si>
  <si>
    <t>2回福島2日</t>
  </si>
  <si>
    <t>松島特別</t>
  </si>
  <si>
    <t>鶴ヶ城ステークス</t>
  </si>
  <si>
    <t>第75回 ラジオNIKKEI賞（GⅢ）</t>
  </si>
  <si>
    <t>2回小倉2日</t>
  </si>
  <si>
    <t>帆柱山特別</t>
  </si>
  <si>
    <t>西部日刊スポーツ杯</t>
  </si>
  <si>
    <t>紫川ステークス</t>
  </si>
  <si>
    <t>臥牛山特別</t>
  </si>
  <si>
    <t>渡島特別</t>
  </si>
  <si>
    <t>函館競馬場開設130周年記念</t>
  </si>
  <si>
    <t>函館記念（GⅢ）</t>
  </si>
  <si>
    <t>湯の川温泉特別</t>
  </si>
  <si>
    <t>2回福島3日</t>
  </si>
  <si>
    <t>伊達特別</t>
  </si>
  <si>
    <t>横手特別</t>
  </si>
  <si>
    <t>TUF杯</t>
  </si>
  <si>
    <t>2回小倉3日</t>
  </si>
  <si>
    <t>2,860（芝）定量</t>
  </si>
  <si>
    <t>小郡特別</t>
  </si>
  <si>
    <t>雲仙特別</t>
  </si>
  <si>
    <t>博多ステークス</t>
  </si>
  <si>
    <t>1回函館7日</t>
  </si>
  <si>
    <t>恵山特別</t>
  </si>
  <si>
    <t>竜飛崎特別</t>
  </si>
  <si>
    <t>TVh杯</t>
  </si>
  <si>
    <t>2回福島4日</t>
  </si>
  <si>
    <t>郡山特別</t>
  </si>
  <si>
    <t>白河特別</t>
  </si>
  <si>
    <t>ジュライステークス</t>
  </si>
  <si>
    <t>2回小倉4日</t>
  </si>
  <si>
    <t>青島特別</t>
  </si>
  <si>
    <t>九州スポーツ杯</t>
  </si>
  <si>
    <t>第61回 テレビ西日本賞</t>
  </si>
  <si>
    <t>北九州記念（GⅢ）</t>
  </si>
  <si>
    <t>1回函館8日</t>
  </si>
  <si>
    <t>立待岬特別</t>
  </si>
  <si>
    <t>横津岳特別</t>
  </si>
  <si>
    <t>大沼ステークス（L）</t>
  </si>
  <si>
    <t>2回福島5日</t>
  </si>
  <si>
    <t>3,380（芝）別定</t>
  </si>
  <si>
    <t>信夫山特別</t>
  </si>
  <si>
    <t>会津ステークス</t>
  </si>
  <si>
    <t>安達太良ステークス</t>
  </si>
  <si>
    <t>2回小倉5日</t>
  </si>
  <si>
    <t>英彦山特別</t>
  </si>
  <si>
    <t>耶馬渓特別</t>
  </si>
  <si>
    <t>釜山ステークス</t>
  </si>
  <si>
    <t>2回福島6日</t>
  </si>
  <si>
    <t>2,770（芝）定量</t>
  </si>
  <si>
    <t>織姫賞</t>
  </si>
  <si>
    <t>天の川ステークス</t>
  </si>
  <si>
    <t>第62回 七夕賞（GⅢ）</t>
  </si>
  <si>
    <t>彦星賞</t>
  </si>
  <si>
    <t>2回小倉6日</t>
  </si>
  <si>
    <t>八女特別</t>
  </si>
  <si>
    <t>西部スポニチ賞</t>
  </si>
  <si>
    <t>阿蘇ステークス</t>
  </si>
  <si>
    <t>1回函館10日</t>
  </si>
  <si>
    <t>北海ハンデキャップ</t>
  </si>
  <si>
    <t>噴火湾特別</t>
  </si>
  <si>
    <t>巴賞</t>
  </si>
  <si>
    <t>2回福島7日</t>
  </si>
  <si>
    <t>開成山特別</t>
  </si>
  <si>
    <t>米沢特別</t>
  </si>
  <si>
    <t>阿武隈ステークス</t>
  </si>
  <si>
    <t>2回小倉7日</t>
  </si>
  <si>
    <t>ソレイユジャンプステークス</t>
  </si>
  <si>
    <t>3,390（芝）別定</t>
  </si>
  <si>
    <t>ひまわり賞</t>
  </si>
  <si>
    <t>1,200（芝）（九州産馬）別定</t>
  </si>
  <si>
    <t>熊本城特別</t>
  </si>
  <si>
    <t>テレQ杯</t>
  </si>
  <si>
    <t>1回函館11日</t>
  </si>
  <si>
    <t>湯浜特別</t>
  </si>
  <si>
    <t>潮騒特別</t>
  </si>
  <si>
    <t>デルマーサラブレッドクラブ賞</t>
  </si>
  <si>
    <t>マリーンステークス</t>
  </si>
  <si>
    <t>2回福島8日</t>
  </si>
  <si>
    <t>南相馬市市制施行20周年記念</t>
  </si>
  <si>
    <t>南相馬特別</t>
  </si>
  <si>
    <t>猪苗代特別</t>
  </si>
  <si>
    <t>福島テレビ賞</t>
  </si>
  <si>
    <t>1,150（ダ）別定</t>
  </si>
  <si>
    <t>2回小倉8日</t>
  </si>
  <si>
    <t>不知火特別</t>
  </si>
  <si>
    <t>宮崎ステークス</t>
  </si>
  <si>
    <t>小倉記念（GⅢ）</t>
  </si>
  <si>
    <t>筑紫特別</t>
  </si>
  <si>
    <t>1回函館12日</t>
  </si>
  <si>
    <t>かもめ島特別</t>
  </si>
  <si>
    <t>駒場特別</t>
  </si>
  <si>
    <t>第58回 函館2歳ステークス（GⅢ）</t>
  </si>
  <si>
    <t>2回新潟1日</t>
  </si>
  <si>
    <t>豊栄特別</t>
  </si>
  <si>
    <t>新潟日報賞</t>
  </si>
  <si>
    <t>清津峡特別</t>
  </si>
  <si>
    <t>2,850（芝・外→内）別定</t>
  </si>
  <si>
    <t>2回中京1日</t>
  </si>
  <si>
    <t>四日市特別</t>
  </si>
  <si>
    <t>関ケ原ステークス</t>
  </si>
  <si>
    <t>香嵐渓特別</t>
  </si>
  <si>
    <t>1回札幌1日</t>
  </si>
  <si>
    <t>ライラック賞</t>
  </si>
  <si>
    <t>TVh賞</t>
  </si>
  <si>
    <t>桑園特別</t>
  </si>
  <si>
    <t>2回新潟2日</t>
  </si>
  <si>
    <t>出雲崎特別</t>
  </si>
  <si>
    <t>第61回 関屋記念（GⅢ）</t>
  </si>
  <si>
    <t>麒麟山特別</t>
  </si>
  <si>
    <t>2回中京2日</t>
  </si>
  <si>
    <t>木曽川特別</t>
  </si>
  <si>
    <t>第43回 東海ステークス（GⅢ）</t>
  </si>
  <si>
    <t>遠州灘特別</t>
  </si>
  <si>
    <t>1回札幌2日</t>
  </si>
  <si>
    <t>羊ヶ丘特別</t>
  </si>
  <si>
    <t>1,500（芝）ハンデ</t>
  </si>
  <si>
    <t>札幌日経賞（L）</t>
  </si>
  <si>
    <t>2,600（芝）別定</t>
  </si>
  <si>
    <t>厚岸特別</t>
  </si>
  <si>
    <t>1回函館9日</t>
  </si>
  <si>
    <t>北斗特別</t>
  </si>
  <si>
    <t>HTB杯</t>
  </si>
  <si>
    <t>五稜郭ステークス</t>
  </si>
  <si>
    <t>2回新潟3日</t>
  </si>
  <si>
    <t>月岡温泉特別</t>
  </si>
  <si>
    <t>柳都ステークス</t>
  </si>
  <si>
    <t>燕特別</t>
  </si>
  <si>
    <t>2回中京3日</t>
  </si>
  <si>
    <t>桶狭間ステークス</t>
  </si>
  <si>
    <t>豊橋ステークス</t>
  </si>
  <si>
    <t>1,600（芝）ハンデ</t>
  </si>
  <si>
    <t>日進特別</t>
  </si>
  <si>
    <t>1回札幌3日</t>
  </si>
  <si>
    <t>1,500（芝）（牝）定量</t>
  </si>
  <si>
    <t>釧路湿原特別</t>
  </si>
  <si>
    <t>STV賞</t>
  </si>
  <si>
    <t>大倉山特別</t>
  </si>
  <si>
    <t>2回新潟4日</t>
  </si>
  <si>
    <t>苗場特別</t>
  </si>
  <si>
    <t>第26回 アイビスサマーダッシュ（GⅢ）</t>
  </si>
  <si>
    <t>1,000（芝・直）別定</t>
  </si>
  <si>
    <t>五頭連峰特別</t>
  </si>
  <si>
    <t>2回中京4日</t>
  </si>
  <si>
    <t>中京スポニチ賞</t>
  </si>
  <si>
    <t>名鉄杯（L）</t>
  </si>
  <si>
    <t>浜松特別</t>
  </si>
  <si>
    <t>1回札幌4日</t>
  </si>
  <si>
    <t>ポプラステークス</t>
  </si>
  <si>
    <t>第74回 北海道新聞杯</t>
  </si>
  <si>
    <t>クイーンステークス（GⅢ）</t>
  </si>
  <si>
    <t>苫小牧特別</t>
  </si>
  <si>
    <t>1回中山1日</t>
  </si>
  <si>
    <t>3歳新馬</t>
  </si>
  <si>
    <t>招福ステークス</t>
  </si>
  <si>
    <t>ジュニアカップ（L）</t>
  </si>
  <si>
    <t>第75回 日刊スポーツ賞</t>
  </si>
  <si>
    <t>中山金杯（GⅢ）</t>
  </si>
  <si>
    <t>1回京都1日</t>
  </si>
  <si>
    <t>天ケ瀬特別</t>
  </si>
  <si>
    <t>寿ステークス</t>
  </si>
  <si>
    <t>第64回 スポーツニッポン賞</t>
  </si>
  <si>
    <t>京都金杯（GⅢ）</t>
  </si>
  <si>
    <t>1回中山2日</t>
  </si>
  <si>
    <t>中山新春ジャンプステークス</t>
  </si>
  <si>
    <t>初茜賞</t>
  </si>
  <si>
    <t>初日の出賞</t>
  </si>
  <si>
    <t>サンライズステークス</t>
  </si>
  <si>
    <t>1回京都2日</t>
  </si>
  <si>
    <t>逢坂山特別</t>
  </si>
  <si>
    <t>門松ステークス</t>
  </si>
  <si>
    <t>万葉ステークス</t>
  </si>
  <si>
    <t>3,000（芝・外）ハンデ</t>
  </si>
  <si>
    <t>1回中山3日</t>
  </si>
  <si>
    <t>黒竹賞</t>
  </si>
  <si>
    <t>初凪賞</t>
  </si>
  <si>
    <t>迎春ステークス</t>
  </si>
  <si>
    <t>1回京都3日</t>
  </si>
  <si>
    <t>牛若丸ジャンプステークス</t>
  </si>
  <si>
    <t>出町特別</t>
  </si>
  <si>
    <t>鹿ケ谷特別</t>
  </si>
  <si>
    <t>すばるステークス（L）</t>
  </si>
  <si>
    <t>1回中山4日</t>
  </si>
  <si>
    <t>初咲賞</t>
  </si>
  <si>
    <t>ポルックスステークス</t>
  </si>
  <si>
    <t>第42回 フェアリーステークス（GⅢ）</t>
  </si>
  <si>
    <t>1回京都4日</t>
  </si>
  <si>
    <t>五条坂特別</t>
  </si>
  <si>
    <t>新春ステークス</t>
  </si>
  <si>
    <t>淀短距離ステークス（L）</t>
  </si>
  <si>
    <t>1回中山5日</t>
  </si>
  <si>
    <t>成田特別</t>
  </si>
  <si>
    <t>初春ステークス</t>
  </si>
  <si>
    <t>ニューイヤーステークス（L）</t>
  </si>
  <si>
    <t>1回京都5日</t>
  </si>
  <si>
    <t>琵琶湖特別</t>
  </si>
  <si>
    <t>雅ステークス</t>
  </si>
  <si>
    <t>第60回 日刊スポーツ賞</t>
  </si>
  <si>
    <t>シンザン記念（GⅢ）</t>
  </si>
  <si>
    <t>1回中山6日</t>
  </si>
  <si>
    <t>菜の花賞</t>
  </si>
  <si>
    <t>アレキサンドライトステークス</t>
  </si>
  <si>
    <t>カーバンクルステークス</t>
  </si>
  <si>
    <t>1回京都6日</t>
  </si>
  <si>
    <t>稲荷特別</t>
  </si>
  <si>
    <t>紅梅ステークス（L）</t>
  </si>
  <si>
    <t>1,400（芝・外）（牝）別定</t>
  </si>
  <si>
    <t>羅生門ステークス</t>
  </si>
  <si>
    <t>1回中山7日</t>
  </si>
  <si>
    <t>若潮ステークス</t>
  </si>
  <si>
    <t>ジャニュアリーステークス</t>
  </si>
  <si>
    <t>第66回 京成杯（GⅢ）</t>
  </si>
  <si>
    <t>1回京都7日</t>
  </si>
  <si>
    <t>小倉山特別</t>
  </si>
  <si>
    <t>大津特別</t>
  </si>
  <si>
    <t>第73回 日経新春杯（GⅡ）</t>
  </si>
  <si>
    <t>1回中山8日</t>
  </si>
  <si>
    <t>東雲賞</t>
  </si>
  <si>
    <t>初霞賞</t>
  </si>
  <si>
    <t>初富士ステークス</t>
  </si>
  <si>
    <t>1回京都8日</t>
  </si>
  <si>
    <t>若駒ステークス（L）</t>
  </si>
  <si>
    <t>下鴨ステークス</t>
  </si>
  <si>
    <t>睦月ステークス</t>
  </si>
  <si>
    <t>1回小倉1日</t>
  </si>
  <si>
    <t>萌黄賞</t>
  </si>
  <si>
    <t>海の中道特別</t>
  </si>
  <si>
    <t>第2回 小倉牝馬ステークス（GⅢ）</t>
  </si>
  <si>
    <t>2,000（芝）（牝）ハンデ</t>
  </si>
  <si>
    <t>1回中山9日</t>
  </si>
  <si>
    <t>若竹賞</t>
  </si>
  <si>
    <t>江戸川ステークス</t>
  </si>
  <si>
    <t>第67回 アメリカジョッキークラブカップ（GⅡ）</t>
  </si>
  <si>
    <t>2,200（芝・外）別定</t>
  </si>
  <si>
    <t>1回京都9日</t>
  </si>
  <si>
    <t>河津桜賞</t>
  </si>
  <si>
    <t>山城ステークス</t>
  </si>
  <si>
    <t>第31回 プロキオンステークス（GⅡ）</t>
  </si>
  <si>
    <t>1回小倉2日</t>
  </si>
  <si>
    <t>八幡特別</t>
  </si>
  <si>
    <t>響灘特別</t>
  </si>
  <si>
    <t>壇之浦ステークス</t>
  </si>
  <si>
    <t>1回東京1日</t>
  </si>
  <si>
    <t>白嶺ステークス</t>
  </si>
  <si>
    <t>クロッカスステークス（L）</t>
  </si>
  <si>
    <t>白富士ステークス（L）</t>
  </si>
  <si>
    <t>2回京都1日</t>
  </si>
  <si>
    <t>長浜特別</t>
  </si>
  <si>
    <t>許波多特別</t>
  </si>
  <si>
    <t>舞鶴ステークス</t>
  </si>
  <si>
    <t>1回小倉3日</t>
  </si>
  <si>
    <t>2,860（芝）別定</t>
  </si>
  <si>
    <t>有田特別</t>
  </si>
  <si>
    <t>平尾台特別</t>
  </si>
  <si>
    <t>巌流島ステークス</t>
  </si>
  <si>
    <t>1回東京2日</t>
  </si>
  <si>
    <t>セントポーリア賞</t>
  </si>
  <si>
    <t>節分ステークス</t>
  </si>
  <si>
    <t>フォーエバーヤング ブリーダーズカップクラシック優勝記念</t>
  </si>
  <si>
    <t>第40回 根岸ステークス（GⅢ）</t>
  </si>
  <si>
    <t>2回京都2日</t>
  </si>
  <si>
    <t>衣笠特別</t>
  </si>
  <si>
    <t>八坂ステークス</t>
  </si>
  <si>
    <t>第31回 シルクロードステークス（GⅢ）</t>
  </si>
  <si>
    <t>1回小倉4日</t>
  </si>
  <si>
    <t>1,800（芝）（若手騎手）定量</t>
  </si>
  <si>
    <t>足立山特別</t>
  </si>
  <si>
    <t>周防灘特別</t>
  </si>
  <si>
    <t>門司ステークス</t>
  </si>
  <si>
    <t>1回東京3日</t>
  </si>
  <si>
    <t>2回京都3日</t>
  </si>
  <si>
    <t>橿原ステークス</t>
  </si>
  <si>
    <t>エルフィンステークス（L）</t>
  </si>
  <si>
    <t>アルデバランステークス</t>
  </si>
  <si>
    <t>1回小倉5日</t>
  </si>
  <si>
    <t>戸畑特別</t>
  </si>
  <si>
    <t>RKB賞</t>
  </si>
  <si>
    <t>豊前ステークス</t>
  </si>
  <si>
    <t>1回小倉6日</t>
  </si>
  <si>
    <t>かささぎ賞</t>
  </si>
  <si>
    <t>由布院特別</t>
  </si>
  <si>
    <t>小倉日経賞</t>
  </si>
  <si>
    <t>1回東京4日</t>
  </si>
  <si>
    <t>ゆりかもめ賞</t>
  </si>
  <si>
    <t>初音ステークス</t>
  </si>
  <si>
    <t>第76回 東京新聞杯（GⅢ）</t>
  </si>
  <si>
    <t>2回京都4日</t>
  </si>
  <si>
    <t>石清水ステークス</t>
  </si>
  <si>
    <t>大和ステークス</t>
  </si>
  <si>
    <t>第66回 きさらぎ賞（GⅢ）</t>
  </si>
  <si>
    <t>1回東京5日</t>
  </si>
  <si>
    <t>箱根特別</t>
  </si>
  <si>
    <t>銀蹄ステークス</t>
  </si>
  <si>
    <t>第61回 デイリー杯</t>
  </si>
  <si>
    <t>クイーンカップ（GⅢ）</t>
  </si>
  <si>
    <t>2回京都5日</t>
  </si>
  <si>
    <t>こぶし賞</t>
  </si>
  <si>
    <t>飛鳥ステークス</t>
  </si>
  <si>
    <t>洛陽ステークス（L）</t>
  </si>
  <si>
    <t>1回小倉7日</t>
  </si>
  <si>
    <t>第28回 小倉ジャンプステークス（J・GⅢ）</t>
  </si>
  <si>
    <t>あすなろ賞</t>
  </si>
  <si>
    <t>伊万里特別</t>
  </si>
  <si>
    <t>下関ステークス</t>
  </si>
  <si>
    <t>1回東京6日</t>
  </si>
  <si>
    <t>雲雀ステークス</t>
  </si>
  <si>
    <t>バレンタインステークス</t>
  </si>
  <si>
    <t>第60回 共同通信杯（GⅢ）</t>
  </si>
  <si>
    <t>（トキノミノル記念）</t>
  </si>
  <si>
    <t>2回京都6日</t>
  </si>
  <si>
    <t>春日特別</t>
  </si>
  <si>
    <t>北山ステークス</t>
  </si>
  <si>
    <t>第119回 農林水産省賞典</t>
  </si>
  <si>
    <t>京都記念（GⅡ）</t>
  </si>
  <si>
    <t>1回小倉8日</t>
  </si>
  <si>
    <t>大濠特別</t>
  </si>
  <si>
    <t>太宰府特別</t>
  </si>
  <si>
    <t>北九州短距離ステークス</t>
  </si>
  <si>
    <t>1回東京7日</t>
  </si>
  <si>
    <t>フリージア賞</t>
  </si>
  <si>
    <t>金蹄ステークス</t>
  </si>
  <si>
    <t>第76回 ダイヤモンドステークス（GⅢ）</t>
  </si>
  <si>
    <t>3,400（芝）ハンデ</t>
  </si>
  <si>
    <t>1回阪神1日</t>
  </si>
  <si>
    <t>すみれステークス（L）</t>
  </si>
  <si>
    <t>2,200（芝）別定</t>
  </si>
  <si>
    <t>鳴門ステークス</t>
  </si>
  <si>
    <t>第70回 阪急杯（GⅢ）</t>
  </si>
  <si>
    <t>1回小倉9日</t>
  </si>
  <si>
    <t>あざみ賞</t>
  </si>
  <si>
    <t>皿倉山特別</t>
  </si>
  <si>
    <t>小倉城ステークス</t>
  </si>
  <si>
    <t>1回東京8日</t>
  </si>
  <si>
    <t>ヒヤシンスステークス（L）</t>
  </si>
  <si>
    <t>ジャパンカップ 2025年ロンジンワールドベストレース受賞記念</t>
  </si>
  <si>
    <t>第43回 フェブラリーステークス（GⅠ）</t>
  </si>
  <si>
    <t>大島特別</t>
  </si>
  <si>
    <t>1回阪神2日</t>
  </si>
  <si>
    <t>天神橋特別</t>
  </si>
  <si>
    <t>戎橋ステークス</t>
  </si>
  <si>
    <t>令月ステークス</t>
  </si>
  <si>
    <t>1回小倉10日</t>
  </si>
  <si>
    <t>高千穂特別</t>
  </si>
  <si>
    <t>和布刈特別</t>
  </si>
  <si>
    <t>第60回 小倉大賞典（GⅢ）</t>
  </si>
  <si>
    <t>2回中山1日</t>
  </si>
  <si>
    <t>水仙賞</t>
  </si>
  <si>
    <t>春風ステークス</t>
  </si>
  <si>
    <t>第21回 オーシャンステークス（GⅢ）</t>
  </si>
  <si>
    <t>1,200（芝・外）別定</t>
  </si>
  <si>
    <t>1回阪神3日</t>
  </si>
  <si>
    <t>松籟ステークス</t>
  </si>
  <si>
    <t>3,000（芝）ハンデ</t>
  </si>
  <si>
    <t>マーガレットステークス（L）</t>
  </si>
  <si>
    <t>仁川ステークス（L）</t>
  </si>
  <si>
    <t>2,000（ダ）ハンデ</t>
  </si>
  <si>
    <t>1回小倉11日</t>
  </si>
  <si>
    <t>脊振山特別</t>
  </si>
  <si>
    <t>早鞆特別</t>
  </si>
  <si>
    <t>別府特別</t>
  </si>
  <si>
    <t>2回中山2日</t>
  </si>
  <si>
    <t>富里特別</t>
  </si>
  <si>
    <t>アクアマリンステークス</t>
  </si>
  <si>
    <t>第100回 中山記念（GⅡ）</t>
  </si>
  <si>
    <t>1回阪神4日</t>
  </si>
  <si>
    <t>山陽特別</t>
  </si>
  <si>
    <t>伊丹ステークス</t>
  </si>
  <si>
    <t>第33回 チューリップ賞（GⅡ）</t>
  </si>
  <si>
    <t>（桜花賞トライアル）</t>
  </si>
  <si>
    <t>1回小倉12日</t>
  </si>
  <si>
    <t>唐戸特別</t>
  </si>
  <si>
    <t>西日本新聞杯</t>
  </si>
  <si>
    <t>関門橋ステークス</t>
  </si>
  <si>
    <t>2回中山3日</t>
  </si>
  <si>
    <t>潮来特別</t>
  </si>
  <si>
    <t>上総ステークス</t>
  </si>
  <si>
    <t>第44回 ローレル競馬場賞</t>
  </si>
  <si>
    <t>中山牝馬ステークス（GⅢ）</t>
  </si>
  <si>
    <t>1回阪神5日</t>
  </si>
  <si>
    <t>千里山特別</t>
  </si>
  <si>
    <t>なにわステークス</t>
  </si>
  <si>
    <t>第60回 報知杯フィリーズレビュー（GⅡ）</t>
  </si>
  <si>
    <t>2回中山4日</t>
  </si>
  <si>
    <t>湾岸ステークス</t>
  </si>
  <si>
    <t>総武ステークス</t>
  </si>
  <si>
    <t>第63回 報知杯弥生賞</t>
  </si>
  <si>
    <t>ディープインパクト記念（GⅡ）</t>
  </si>
  <si>
    <t>（皐月賞トライアル）</t>
  </si>
  <si>
    <t>1回阪神6日</t>
  </si>
  <si>
    <t>アルメリア賞</t>
  </si>
  <si>
    <t>岸和田ステークス</t>
  </si>
  <si>
    <t>大阪城ステークス（L）</t>
  </si>
  <si>
    <t>2回中山5日</t>
  </si>
  <si>
    <t>房総特別</t>
  </si>
  <si>
    <t>幕張ステークス</t>
  </si>
  <si>
    <t>アネモネステークス（L）</t>
  </si>
  <si>
    <t>1回阪神7日</t>
  </si>
  <si>
    <t>第28回 阪神スプリングジャンプ（J・GⅡ）</t>
  </si>
  <si>
    <t>3,900（芝）別定</t>
  </si>
  <si>
    <t>讃岐特別</t>
  </si>
  <si>
    <t>難波ステークス</t>
  </si>
  <si>
    <t>コーラルステークス（L）</t>
  </si>
  <si>
    <t>1回中京1日</t>
  </si>
  <si>
    <t>1,600（芝）（若手騎手）</t>
  </si>
  <si>
    <t>鶴舞特別</t>
  </si>
  <si>
    <t>茶臼山高原特別</t>
  </si>
  <si>
    <t>中京スポーツ杯</t>
  </si>
  <si>
    <t>2回中山6日</t>
  </si>
  <si>
    <t>阿見特別</t>
  </si>
  <si>
    <t>東風ステークス（L）</t>
  </si>
  <si>
    <t>第75回 フジテレビ賞</t>
  </si>
  <si>
    <t>スプリングステークス（GⅡ）</t>
  </si>
  <si>
    <t>1,800（芝）牡・牝</t>
  </si>
  <si>
    <t>1回阪神8日</t>
  </si>
  <si>
    <t>ゆきやなぎ賞</t>
  </si>
  <si>
    <t>甲南ステークス</t>
  </si>
  <si>
    <t>米子城ステークス</t>
  </si>
  <si>
    <t>1回中京2日</t>
  </si>
  <si>
    <t>伊良湖特別</t>
  </si>
  <si>
    <t>昇竜ステークス</t>
  </si>
  <si>
    <t>第62回 東海テレビ杯</t>
  </si>
  <si>
    <t>金鯱賞（GⅡ）</t>
  </si>
  <si>
    <t>2回中山7日</t>
  </si>
  <si>
    <t>ペガサスジャンプステークス</t>
  </si>
  <si>
    <t>3,350（芝・外）別定</t>
  </si>
  <si>
    <t>館山特別</t>
  </si>
  <si>
    <t>韓国馬事会杯</t>
  </si>
  <si>
    <t>第40回 フラワーカップ（GⅢ）</t>
  </si>
  <si>
    <t>1回阪神9日</t>
  </si>
  <si>
    <t>淡路特別</t>
  </si>
  <si>
    <t>2,600（芝・外）定量</t>
  </si>
  <si>
    <t>淀屋橋ステークス</t>
  </si>
  <si>
    <t>若葉ステークス（L）</t>
  </si>
  <si>
    <t>1回中京3日</t>
  </si>
  <si>
    <t>岡崎特別</t>
  </si>
  <si>
    <t>豊明ステークス</t>
  </si>
  <si>
    <t>第40回 中日スポーツ賞</t>
  </si>
  <si>
    <t>ファルコンステークス（GⅢ）</t>
  </si>
  <si>
    <t>2回中山8日</t>
  </si>
  <si>
    <t>鎌ケ谷特別</t>
  </si>
  <si>
    <t>スピカステークス</t>
  </si>
  <si>
    <t>千葉ステークス</t>
  </si>
  <si>
    <t>1回阪神10日</t>
  </si>
  <si>
    <t>皆生特別</t>
  </si>
  <si>
    <t>レグルスステークス</t>
  </si>
  <si>
    <t>第74回 阪神大賞典（GⅡ）</t>
  </si>
  <si>
    <t>1回中京4日</t>
  </si>
  <si>
    <t>フローラルウォーク賞</t>
  </si>
  <si>
    <t>弥富特別</t>
  </si>
  <si>
    <t>第63回 農林水産省賞典</t>
  </si>
  <si>
    <t>愛知杯（GⅢ）</t>
  </si>
  <si>
    <t>1,400（芝）（牝）別定</t>
  </si>
  <si>
    <t>阪神</t>
  </si>
  <si>
    <t>1回函館6日</t>
    <phoneticPr fontId="1"/>
  </si>
  <si>
    <t>東京</t>
  </si>
  <si>
    <t>京都</t>
  </si>
  <si>
    <t>新潟</t>
  </si>
  <si>
    <t>福島</t>
  </si>
  <si>
    <t>中山</t>
  </si>
  <si>
    <t>中京</t>
  </si>
  <si>
    <t>開催</t>
    <rPh sb="0" eb="2">
      <t>カイサイ</t>
    </rPh>
    <phoneticPr fontId="1"/>
  </si>
  <si>
    <t>競馬場</t>
    <rPh sb="0" eb="3">
      <t>ケイバジョウ</t>
    </rPh>
    <phoneticPr fontId="1"/>
  </si>
  <si>
    <t>開催日</t>
    <rPh sb="0" eb="3">
      <t>カイサイビ</t>
    </rPh>
    <phoneticPr fontId="1"/>
  </si>
  <si>
    <t>1着</t>
  </si>
  <si>
    <t>2着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</si>
</sst>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:mm;@"/>
    <numFmt numFmtId="177" formatCode="m&quot;月&quot;d&quot;日&quot;\(aaa\)"/>
  </numFmts>
  <fonts count="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indexed="64"/>
      </left>
      <right/>
      <top style="medium">
        <color indexed="64"/>
      </top>
      <bottom style="medium">
        <color rgb="FF505050"/>
      </bottom>
      <diagonal/>
    </border>
    <border>
      <left/>
      <right style="medium">
        <color indexed="64"/>
      </right>
      <top style="medium">
        <color indexed="64"/>
      </top>
      <bottom style="medium">
        <color rgb="FF505050"/>
      </bottom>
      <diagonal/>
    </border>
    <border>
      <left style="medium">
        <color indexed="64"/>
      </left>
      <right style="thin">
        <color rgb="FF505050"/>
      </right>
      <top style="medium">
        <color rgb="FF505050"/>
      </top>
      <bottom style="medium">
        <color indexed="64"/>
      </bottom>
      <diagonal/>
    </border>
    <border>
      <left style="thin">
        <color rgb="FF505050"/>
      </left>
      <right style="medium">
        <color indexed="64"/>
      </right>
      <top style="medium">
        <color rgb="FF505050"/>
      </top>
      <bottom style="medium">
        <color indexed="64"/>
      </bottom>
      <diagonal/>
    </border>
    <border>
      <left/>
      <right style="thin">
        <color rgb="FF505050"/>
      </right>
      <top/>
      <bottom style="medium">
        <color rgb="FF50505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56" fontId="0" fillId="0" borderId="0" xfId="0" applyNumberForma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32" fontId="0" fillId="0" borderId="0" xfId="0" applyNumberFormat="1"/>
    <xf numFmtId="176" fontId="0" fillId="0" borderId="0" xfId="0" applyNumberFormat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3" borderId="8" xfId="0" applyFill="1" applyBorder="1"/>
    <xf numFmtId="0" fontId="0" fillId="0" borderId="9" xfId="0" applyBorder="1"/>
    <xf numFmtId="0" fontId="0" fillId="3" borderId="10" xfId="0" applyFill="1" applyBorder="1"/>
    <xf numFmtId="0" fontId="0" fillId="0" borderId="8" xfId="0" applyBorder="1"/>
    <xf numFmtId="0" fontId="0" fillId="0" borderId="10" xfId="0" applyBorder="1"/>
    <xf numFmtId="0" fontId="0" fillId="0" borderId="14" xfId="0" applyBorder="1"/>
    <xf numFmtId="0" fontId="2" fillId="0" borderId="19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3" xfId="0" applyFont="1" applyBorder="1"/>
    <xf numFmtId="0" fontId="0" fillId="0" borderId="24" xfId="0" applyBorder="1"/>
    <xf numFmtId="0" fontId="0" fillId="0" borderId="25" xfId="0" applyBorder="1"/>
    <xf numFmtId="0" fontId="2" fillId="0" borderId="15" xfId="0" applyFont="1" applyBorder="1"/>
    <xf numFmtId="0" fontId="2" fillId="0" borderId="27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2" fillId="0" borderId="31" xfId="0" applyFont="1" applyBorder="1"/>
    <xf numFmtId="176" fontId="0" fillId="0" borderId="32" xfId="0" applyNumberFormat="1" applyBorder="1"/>
    <xf numFmtId="176" fontId="0" fillId="0" borderId="33" xfId="0" applyNumberFormat="1" applyBorder="1"/>
    <xf numFmtId="176" fontId="0" fillId="0" borderId="34" xfId="0" applyNumberForma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35" xfId="0" applyBorder="1"/>
    <xf numFmtId="0" fontId="0" fillId="0" borderId="36" xfId="0" applyBorder="1"/>
    <xf numFmtId="0" fontId="0" fillId="0" borderId="12" xfId="0" applyBorder="1"/>
    <xf numFmtId="0" fontId="2" fillId="0" borderId="24" xfId="0" applyFont="1" applyBorder="1"/>
    <xf numFmtId="0" fontId="2" fillId="0" borderId="26" xfId="0" applyFont="1" applyBorder="1"/>
    <xf numFmtId="0" fontId="2" fillId="0" borderId="25" xfId="0" applyFont="1" applyBorder="1"/>
    <xf numFmtId="0" fontId="0" fillId="4" borderId="0" xfId="0" applyFill="1"/>
    <xf numFmtId="32" fontId="0" fillId="4" borderId="0" xfId="0" applyNumberFormat="1" applyFill="1"/>
    <xf numFmtId="0" fontId="2" fillId="0" borderId="25" xfId="0" applyFont="1" applyBorder="1" applyAlignment="1">
      <alignment wrapText="1"/>
    </xf>
    <xf numFmtId="0" fontId="0" fillId="0" borderId="4" xfId="0" applyBorder="1"/>
    <xf numFmtId="0" fontId="0" fillId="0" borderId="11" xfId="0" applyBorder="1"/>
    <xf numFmtId="0" fontId="0" fillId="0" borderId="13" xfId="0" applyBorder="1"/>
    <xf numFmtId="0" fontId="3" fillId="0" borderId="0" xfId="0" applyFont="1"/>
    <xf numFmtId="0" fontId="2" fillId="0" borderId="37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40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1" xfId="0" applyFont="1" applyBorder="1"/>
    <xf numFmtId="0" fontId="3" fillId="0" borderId="41" xfId="0" applyFont="1" applyBorder="1"/>
    <xf numFmtId="0" fontId="3" fillId="0" borderId="29" xfId="0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42" xfId="0" applyFont="1" applyBorder="1"/>
    <xf numFmtId="0" fontId="3" fillId="0" borderId="43" xfId="0" applyFont="1" applyBorder="1"/>
    <xf numFmtId="0" fontId="3" fillId="0" borderId="45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46" xfId="0" applyFont="1" applyBorder="1"/>
    <xf numFmtId="0" fontId="3" fillId="0" borderId="48" xfId="0" applyFont="1" applyBorder="1"/>
    <xf numFmtId="0" fontId="0" fillId="0" borderId="40" xfId="0" applyBorder="1"/>
    <xf numFmtId="0" fontId="0" fillId="0" borderId="6" xfId="0" applyBorder="1"/>
    <xf numFmtId="0" fontId="0" fillId="0" borderId="48" xfId="0" applyBorder="1"/>
    <xf numFmtId="0" fontId="0" fillId="0" borderId="43" xfId="0" applyBorder="1"/>
    <xf numFmtId="0" fontId="0" fillId="0" borderId="46" xfId="0" applyBorder="1"/>
    <xf numFmtId="0" fontId="0" fillId="0" borderId="45" xfId="0" applyBorder="1"/>
    <xf numFmtId="0" fontId="0" fillId="0" borderId="41" xfId="0" applyBorder="1"/>
    <xf numFmtId="0" fontId="0" fillId="0" borderId="42" xfId="0" applyBorder="1"/>
    <xf numFmtId="0" fontId="0" fillId="0" borderId="44" xfId="0" applyBorder="1"/>
    <xf numFmtId="0" fontId="0" fillId="0" borderId="49" xfId="0" applyBorder="1"/>
    <xf numFmtId="0" fontId="0" fillId="0" borderId="53" xfId="0" applyBorder="1"/>
    <xf numFmtId="0" fontId="0" fillId="0" borderId="54" xfId="0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0" fillId="0" borderId="63" xfId="0" applyBorder="1"/>
    <xf numFmtId="0" fontId="0" fillId="0" borderId="65" xfId="0" applyBorder="1"/>
    <xf numFmtId="0" fontId="0" fillId="0" borderId="66" xfId="0" applyBorder="1"/>
    <xf numFmtId="0" fontId="0" fillId="0" borderId="67" xfId="0" applyBorder="1"/>
    <xf numFmtId="0" fontId="0" fillId="0" borderId="68" xfId="0" applyBorder="1"/>
    <xf numFmtId="0" fontId="0" fillId="0" borderId="69" xfId="0" applyBorder="1"/>
    <xf numFmtId="0" fontId="0" fillId="0" borderId="70" xfId="0" applyBorder="1"/>
    <xf numFmtId="177" fontId="3" fillId="0" borderId="39" xfId="0" applyNumberFormat="1" applyFont="1" applyBorder="1"/>
    <xf numFmtId="177" fontId="3" fillId="0" borderId="17" xfId="0" applyNumberFormat="1" applyFont="1" applyBorder="1"/>
    <xf numFmtId="177" fontId="3" fillId="0" borderId="47" xfId="0" applyNumberFormat="1" applyFont="1" applyBorder="1"/>
    <xf numFmtId="177" fontId="3" fillId="0" borderId="38" xfId="0" applyNumberFormat="1" applyFont="1" applyBorder="1"/>
    <xf numFmtId="177" fontId="3" fillId="0" borderId="25" xfId="0" applyNumberFormat="1" applyFont="1" applyBorder="1"/>
    <xf numFmtId="177" fontId="3" fillId="0" borderId="36" xfId="0" applyNumberFormat="1" applyFont="1" applyBorder="1"/>
    <xf numFmtId="177" fontId="0" fillId="0" borderId="25" xfId="0" applyNumberFormat="1" applyBorder="1"/>
    <xf numFmtId="177" fontId="0" fillId="0" borderId="36" xfId="0" applyNumberFormat="1" applyBorder="1"/>
    <xf numFmtId="177" fontId="0" fillId="0" borderId="38" xfId="0" applyNumberFormat="1" applyBorder="1"/>
    <xf numFmtId="177" fontId="0" fillId="0" borderId="50" xfId="0" applyNumberFormat="1" applyBorder="1"/>
    <xf numFmtId="177" fontId="0" fillId="0" borderId="51" xfId="0" applyNumberFormat="1" applyBorder="1"/>
    <xf numFmtId="177" fontId="0" fillId="0" borderId="64" xfId="0" applyNumberFormat="1" applyBorder="1"/>
    <xf numFmtId="177" fontId="0" fillId="0" borderId="52" xfId="0" applyNumberFormat="1" applyBorder="1"/>
    <xf numFmtId="0" fontId="2" fillId="2" borderId="73" xfId="0" applyFont="1" applyFill="1" applyBorder="1"/>
    <xf numFmtId="0" fontId="2" fillId="0" borderId="74" xfId="0" applyFont="1" applyBorder="1"/>
    <xf numFmtId="0" fontId="2" fillId="2" borderId="75" xfId="0" applyFont="1" applyFill="1" applyBorder="1"/>
    <xf numFmtId="0" fontId="2" fillId="2" borderId="76" xfId="0" applyFont="1" applyFill="1" applyBorder="1"/>
    <xf numFmtId="0" fontId="2" fillId="0" borderId="77" xfId="0" applyFont="1" applyBorder="1"/>
    <xf numFmtId="0" fontId="2" fillId="0" borderId="71" xfId="0" applyFont="1" applyBorder="1" applyAlignment="1">
      <alignment horizontal="center"/>
    </xf>
    <xf numFmtId="0" fontId="2" fillId="0" borderId="7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78" xfId="0" applyFont="1" applyBorder="1" applyAlignment="1">
      <alignment horizontal="center"/>
    </xf>
  </cellXfs>
  <cellStyles count="1">
    <cellStyle name="標準" xfId="0" builtinId="0"/>
  </cellStyles>
  <dxfs count="4">
    <dxf>
      <font>
        <color rgb="FFFF0000"/>
      </font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ctrlProps/ctrlProp1.xml><?xml version="1.0" encoding="utf-8"?>
<formControlPr xmlns="http://schemas.microsoft.com/office/spreadsheetml/2009/9/main" objectType="Spin" dx="31" fmlaLink="$D$2" max="13" min="1" noThreeD="1" page="10" val="0"/>
</file>

<file path=xl/ctrlProps/ctrlProp2.xml><?xml version="1.0" encoding="utf-8"?>
<formControlPr xmlns="http://schemas.microsoft.com/office/spreadsheetml/2009/9/main" objectType="Spin" dx="31" fmlaLink="$A$2" max="5" min="1" noThreeD="1" page="10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358140</xdr:colOff>
          <xdr:row>0</xdr:row>
          <xdr:rowOff>7620</xdr:rowOff>
        </xdr:from>
        <xdr:to>
          <xdr:col>4</xdr:col>
          <xdr:colOff>556260</xdr:colOff>
          <xdr:row>1</xdr:row>
          <xdr:rowOff>160020</xdr:rowOff>
        </xdr:to>
        <xdr:sp macro="" textlink="">
          <xdr:nvSpPr>
            <xdr:cNvPr id="4097" name="Spinner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655320</xdr:colOff>
          <xdr:row>0</xdr:row>
          <xdr:rowOff>0</xdr:rowOff>
        </xdr:from>
        <xdr:to>
          <xdr:col>1</xdr:col>
          <xdr:colOff>853440</xdr:colOff>
          <xdr:row>1</xdr:row>
          <xdr:rowOff>160020</xdr:rowOff>
        </xdr:to>
        <xdr:sp macro="" textlink="">
          <xdr:nvSpPr>
            <xdr:cNvPr id="4104" name="Spinner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1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86C0D-2412-461E-900E-CC0E1838BB6B}">
  <sheetPr codeName="Sheet3"/>
  <dimension ref="A1:I19"/>
  <sheetViews>
    <sheetView zoomScaleNormal="100" zoomScaleSheetLayoutView="100" workbookViewId="0">
      <selection activeCell="A2" sqref="A2"/>
    </sheetView>
  </sheetViews>
  <sheetFormatPr defaultRowHeight="13.5" x14ac:dyDescent="0.1"/>
  <cols>
    <col min="1" max="1" width="14.99609375" bestFit="1" customWidth="1"/>
    <col min="2" max="2" width="12.26953125" bestFit="1" customWidth="1"/>
    <col min="3" max="3" width="10.90625" bestFit="1" customWidth="1"/>
    <col min="4" max="4" width="31.08984375" bestFit="1" customWidth="1"/>
    <col min="5" max="5" width="8.1796875" bestFit="1" customWidth="1"/>
    <col min="6" max="6" width="12.6796875" bestFit="1" customWidth="1"/>
    <col min="7" max="7" width="3.26953125" customWidth="1"/>
    <col min="8" max="8" width="10.36328125" bestFit="1" customWidth="1"/>
    <col min="9" max="9" width="6.26953125" bestFit="1" customWidth="1"/>
    <col min="11" max="11" width="8.7265625" customWidth="1"/>
  </cols>
  <sheetData>
    <row r="1" spans="1:9" ht="14.25" thickBot="1" x14ac:dyDescent="0.15">
      <c r="A1" s="112" t="s">
        <v>1160</v>
      </c>
      <c r="B1" s="113"/>
      <c r="C1" s="21" t="s">
        <v>1161</v>
      </c>
      <c r="D1" s="114" t="s">
        <v>1162</v>
      </c>
      <c r="E1" s="115"/>
    </row>
    <row r="2" spans="1:9" s="2" customFormat="1" ht="14.25" thickBot="1" x14ac:dyDescent="0.15">
      <c r="A2" s="107">
        <v>1</v>
      </c>
      <c r="B2" s="108" t="s">
        <v>299</v>
      </c>
      <c r="C2" s="110" t="s">
        <v>1159</v>
      </c>
      <c r="D2" s="109">
        <v>1</v>
      </c>
      <c r="E2" s="111" t="s">
        <v>300</v>
      </c>
    </row>
    <row r="3" spans="1:9" x14ac:dyDescent="0.1">
      <c r="A3" s="8" t="s">
        <v>306</v>
      </c>
      <c r="B3" s="9" t="str">
        <f>A2&amp;"回"&amp;C2&amp;D2&amp;"日"</f>
        <v>1回中京1日</v>
      </c>
    </row>
    <row r="4" spans="1:9" x14ac:dyDescent="0.1">
      <c r="A4" s="10" t="s">
        <v>301</v>
      </c>
      <c r="B4" s="11" t="str">
        <f>A2&amp;"_"&amp;C2</f>
        <v>1_中京</v>
      </c>
    </row>
    <row r="5" spans="1:9" ht="14.25" thickBot="1" x14ac:dyDescent="0.15">
      <c r="A5" s="12" t="s">
        <v>307</v>
      </c>
      <c r="B5" s="13">
        <f ca="1">MATCH($B$3,INDIRECT("'"&amp;$B$4&amp;"'!1:1"),0)</f>
        <v>1</v>
      </c>
    </row>
    <row r="6" spans="1:9" s="2" customFormat="1" ht="14.25" thickBot="1" x14ac:dyDescent="0.15">
      <c r="A6" s="21" t="s">
        <v>308</v>
      </c>
      <c r="B6" s="29" t="s">
        <v>23</v>
      </c>
      <c r="C6" s="24" t="s">
        <v>21</v>
      </c>
      <c r="D6" s="21" t="s">
        <v>297</v>
      </c>
      <c r="E6" s="17" t="s">
        <v>298</v>
      </c>
      <c r="F6" s="25" t="s">
        <v>302</v>
      </c>
      <c r="G6" s="3" t="s">
        <v>303</v>
      </c>
      <c r="H6" s="4" t="s">
        <v>304</v>
      </c>
      <c r="I6" s="5" t="s">
        <v>305</v>
      </c>
    </row>
    <row r="7" spans="1:9" x14ac:dyDescent="0.1">
      <c r="A7" s="22">
        <f t="shared" ref="A7:A18" ca="1" si="0">IFERROR(MATCH(C7&amp;"レース",INDEX(INDIRECT("'"&amp;$B$4&amp;"'!A:AX"),0,$B$5),0),"")</f>
        <v>3</v>
      </c>
      <c r="B7" s="30" cm="1">
        <f t="array" aca="1" ref="B7" ca="1">IFERROR(IF(INDEX(INDIRECT("'"&amp;$B$4&amp;"'!A:AX"),A7,$B$5 +2) &gt;0,INDEX(INDIRECT("'"&amp;$B$4&amp;"'!A:AX"),A7,$B$5 +2),""),"")</f>
        <v>0.40625</v>
      </c>
      <c r="C7" s="33">
        <v>1</v>
      </c>
      <c r="D7" s="39" t="str" cm="1">
        <f t="array" aca="1" ref="D7" ca="1">IFERROR(_xlfn.LET(_xlpm.差,A8-A7,_xlpm.対象列,$B$5 +1,_xlpm.検索範囲,INDEX(INDIRECT("'"&amp;$B$4&amp;"'!A:AX"),A7,_xlpm.対象列):
INDEX(INDIRECT("'"&amp;$B$4&amp;"'!A:AX"),A8 -1,_xlpm.対象列),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&gt;0,INDEX(_xlpm.検索範囲,_xlpm.ヒット位置),INDEX(INDIRECT("'"&amp;$B$4&amp;"'!A:AX"),A7 +1,_xlpm.対象列)),
IF(_xlpm.差 &gt; 2, INDEX(INDIRECT("'"&amp;$B$4&amp;"'!A:AX"), A7,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7" s="18" t="str" cm="1">
        <f t="array" aca="1" ref="E7" ca="1">IFERROR(IF(A7="","",_xlfn.LET(_xlpm.target,INDEX(INDIRECT("'"&amp;$B$4&amp;"'!A:AX"),_xlfn.AGGREGATE(15,6,A8:$A$19,1) -2,$B$5+1),_xlpm.pos,SEARCH("歳",_xlpm.target),IF(ISNUMBER(SEARCH("以上",_xlpm.target,_xlpm.pos)),MID(_xlpm.target,_xlpm.pos-1,4),MID(_xlpm.target,_xlpm.pos-1,2)))),"")</f>
        <v>3歳</v>
      </c>
      <c r="F7" s="26" t="str" cm="1">
        <f t="array" aca="1" ref="F7" ca="1">IFERROR(IF(A7="","",_xlfn.IFS(COUNTIF(INDEX(INDIRECT("'" &amp;$B$4&amp;"'!A:AX"),_xlfn.AGGREGATE(15,6,A8:$A$19,1) -2,$B$5 +1),"*障害*"),"障害")),"")
&amp;IFERROR(IF(A7="","",_xlfn.IFS(COUNTIF(INDEX(INDIRECT("'"&amp;$B$4&amp;"'!A:AX"),_xlfn.AGGREGATE(15,6,A8:$A$19,1) -2,$B$5 +1),"*未勝利*"),"未勝利",
COUNTIF(INDEX(INDIRECT("'"&amp;$B$4&amp;"'!A:AX"),_xlfn.AGGREGATE(15,6,A8:$A$19,1) -2,$B$5 +1),"*新馬*"),"新馬",
COUNTIF(INDEX(INDIRECT("'"&amp;$B$4&amp;"'!A:AX"),_xlfn.AGGREGATE(15,6,A8:$A$19,1) -2,$B$5 +1),"*1勝クラス*"),"1勝クラス",
COUNTIF(INDEX(INDIRECT("'"&amp;$B$4&amp;"'!A:AX"),_xlfn.AGGREGATE(15,6,A8:$A$19,1) -2,$B$5 +1),"*2勝クラス*"),"2勝クラス",
COUNTIF(INDEX(INDIRECT("'"&amp;$B$4&amp;"'!A:AX"),_xlfn.AGGREGATE(15,6,A8:$A$19,1) -2,$B$5 +1),"*3勝クラス*"),"3勝クラス",
COUNTIF(INDEX(INDIRECT("'"&amp;$B$4&amp;"'!A:AX"),_xlfn.AGGREGATE(15,6,A8:$A$19,1) -2,$B$5 +1),"*オープン*"),"オープン"
)),"")</f>
        <v>未勝利</v>
      </c>
      <c r="G7" s="38" t="str" cm="1">
        <f t="array" aca="1" ref="G7" ca="1">IFERROR(IF(A7="","",_xlfn.IFS(
COUNTIF(INDEX(INDIRECT("'"&amp;$B$4&amp;"'!A:AX"),_xlfn.AGGREGATE(15,6,A8:$A$19,1) -2,$B$5 +1),"*障害*"),"障",
COUNTIF(INDEX(INDIRECT("'"&amp;$B$4&amp;"'!A:AX"),_xlfn.AGGREGATE(15,6,A8:$A$19,1) -1,$B$5 +1),"*芝*"),"芝",
COUNTIF(INDEX(INDIRECT("'"&amp;$B$4&amp;"'!A:AX"),_xlfn.AGGREGATE(15,6,A8:$A$19,1) -1,$B$5 +1),"*ダ*"),"ダ"
)),"")</f>
        <v>ダ</v>
      </c>
      <c r="H7" s="47" t="str" cm="1">
        <f t="array" aca="1" ref="H7" ca="1">IFERROR(IF(A7="","",
_xlfn.IFS(COUNTIF(INDEX(INDIRECT("'" &amp;$B$4&amp;"'!A:AX"),_xlfn.AGGREGATE(15,6,A8:$A$19,1) -1,$B$5 +1),"*直*"),"直")),"")
&amp;IFERROR(IF(A7="","",
LEFT(INDEX(INDIRECT("'"&amp;$B$4&amp;"'!A:AX"),_xlfn.AGGREGATE(15,6,A8:$A$19,1) -1,$B$5 +1),5)&amp;"m"),"")
&amp;IFERROR(IF(A7="","",
_xlfn.IFS(AND(COUNTIF(INDEX(INDIRECT("'" &amp;$B$4&amp;"'!A:AX"),_xlfn.AGGREGATE(15,6,A8:$A$19,1) -1,$B$5 +1),"*外*"),
COUNTIF(INDEX(INDIRECT("'" &amp;$B$4&amp;"'!A:AX"),_xlfn.AGGREGATE(15,6,A8:$A$19,1) -2,$B$5 +1),"*障害*") =0),"(外)")),"")</f>
        <v>1,800m</v>
      </c>
      <c r="I7" s="16" t="str" cm="1">
        <f t="array" aca="1" ref="I7" ca="1">IFERROR(IF(A7="","",_xlfn.IFS(
    COUNTIF(INDEX(INDIRECT("'"&amp;$B$4&amp;"'!A:AX"),_xlfn.AGGREGATE(15,6,A8:$A$19,1) -1,$B$5 +1),"*牡・牝*"),"牡・牝",
    COUNTIF(INDEX(INDIRECT("'"&amp;$B$4&amp;"'!A:AX"),_xlfn.AGGREGATE(15,6,A8:$A$19,1) -1,$B$5 +1),"*牝*"),"牝"
)),"")</f>
        <v>牝</v>
      </c>
    </row>
    <row r="8" spans="1:9" x14ac:dyDescent="0.1">
      <c r="A8" s="23">
        <f t="shared" ca="1" si="0"/>
        <v>5</v>
      </c>
      <c r="B8" s="31" cm="1">
        <f t="array" aca="1" ref="B8" ca="1">IFERROR(IF(INDEX(INDIRECT("'"&amp;$B$4&amp;"'!A:AX"),A8,$B$5 +2) &gt;0,INDEX(INDIRECT("'"&amp;$B$4&amp;"'!A:AX"),A8,$B$5 +2),""),"")</f>
        <v>0.4236111111111111</v>
      </c>
      <c r="C8" s="34">
        <v>2</v>
      </c>
      <c r="D8" s="41" t="str" cm="1">
        <f t="array" aca="1" ref="D8" ca="1">IFERROR(_xlfn.LET(_xlpm.差,A9-A8,_xlpm.対象列,$B$5 +1,_xlpm.検索範囲,INDEX(INDIRECT("'"&amp;$B$4&amp;"'!A:AX"),A8,_xlpm.対象列):
INDEX(INDIRECT("'"&amp;$B$4&amp;"'!A:AX"),A9 -1,_xlpm.対象列),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&gt;0,INDEX(_xlpm.検索範囲,_xlpm.ヒット位置),INDEX(INDIRECT("'"&amp;$B$4&amp;"'!A:AX"),A8 +1,_xlpm.対象列)),
IF(_xlpm.差 &gt; 2, INDEX(INDIRECT("'"&amp;$B$4&amp;"'!A:AX"), A8,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8" s="19" t="str" cm="1">
        <f t="array" aca="1" ref="E8" ca="1">IFERROR(IF(A8="","",_xlfn.LET(_xlpm.target,INDEX(INDIRECT("'"&amp;$B$4&amp;"'!A:AX"),_xlfn.AGGREGATE(15,6,A9:$A$19,1) -2,$B$5+1),_xlpm.pos,SEARCH("歳",_xlpm.target),IF(ISNUMBER(SEARCH("以上",_xlpm.target,_xlpm.pos)),MID(_xlpm.target,_xlpm.pos-1,4),MID(_xlpm.target,_xlpm.pos-1,2)))),"")</f>
        <v>3歳</v>
      </c>
      <c r="F8" s="27" t="str" cm="1">
        <f t="array" aca="1" ref="F8" ca="1">IFERROR(IF(A8="","",_xlfn.IFS(COUNTIF(INDEX(INDIRECT("'" &amp;$B$4&amp;"'!A:AX"),_xlfn.AGGREGATE(15,6,A9:$A$19,1) -2,$B$5 +1),"*障害*"),"障害")),"")
&amp;IFERROR(IF(A8="","",_xlfn.IFS(COUNTIF(INDEX(INDIRECT("'"&amp;$B$4&amp;"'!A:AX"),_xlfn.AGGREGATE(15,6,A9:$A$19,1) -2,$B$5 +1),"*未勝利*"),"未勝利",
COUNTIF(INDEX(INDIRECT("'"&amp;$B$4&amp;"'!A:AX"),_xlfn.AGGREGATE(15,6,A9:$A$19,1) -2,$B$5 +1),"*新馬*"),"新馬",
COUNTIF(INDEX(INDIRECT("'"&amp;$B$4&amp;"'!A:AX"),_xlfn.AGGREGATE(15,6,A9:$A$19,1) -2,$B$5 +1),"*1勝クラス*"),"1勝クラス",
COUNTIF(INDEX(INDIRECT("'"&amp;$B$4&amp;"'!A:AX"),_xlfn.AGGREGATE(15,6,A9:$A$19,1) -2,$B$5 +1),"*2勝クラス*"),"2勝クラス",
COUNTIF(INDEX(INDIRECT("'"&amp;$B$4&amp;"'!A:AX"),_xlfn.AGGREGATE(15,6,A9:$A$19,1) -2,$B$5 +1),"*3勝クラス*"),"3勝クラス",
COUNTIF(INDEX(INDIRECT("'"&amp;$B$4&amp;"'!A:AX"),_xlfn.AGGREGATE(15,6,A9:$A$19,1) -2,$B$5 +1),"*オープン*"),"オープン"
)),"")</f>
        <v>未勝利</v>
      </c>
      <c r="G8" s="10" t="str" cm="1">
        <f t="array" aca="1" ref="G8" ca="1">IFERROR(IF(A8="","",_xlfn.IFS(
COUNTIF(INDEX(INDIRECT("'"&amp;$B$4&amp;"'!A:AX"),_xlfn.AGGREGATE(15,6,A9:$A$19,1) -2,$B$5 +1),"*障害*"),"障",
COUNTIF(INDEX(INDIRECT("'"&amp;$B$4&amp;"'!A:AX"),_xlfn.AGGREGATE(15,6,A9:$A$19,1) -1,$B$5 +1),"*芝*"),"芝",
COUNTIF(INDEX(INDIRECT("'"&amp;$B$4&amp;"'!A:AX"),_xlfn.AGGREGATE(15,6,A9:$A$19,1) -1,$B$5 +1),"*ダ*"),"ダ"
)),"")</f>
        <v>ダ</v>
      </c>
      <c r="H8" s="45" t="str" cm="1">
        <f t="array" aca="1" ref="H8" ca="1">IFERROR(IF(A8="","",
_xlfn.IFS(COUNTIF(INDEX(INDIRECT("'" &amp;$B$4&amp;"'!A:AX"),_xlfn.AGGREGATE(15,6,A9:$A$19,1) -1,$B$5 +1),"*直*"),"直")),"")
&amp;IFERROR(IF(A8="","",
LEFT(INDEX(INDIRECT("'"&amp;$B$4&amp;"'!A:AX"),_xlfn.AGGREGATE(15,6,A9:$A$19,1) -1,$B$5 +1),5)&amp;"m"),"")
&amp;IFERROR(IF(A8="","",
_xlfn.IFS(AND(COUNTIF(INDEX(INDIRECT("'" &amp;$B$4&amp;"'!A:AX"),_xlfn.AGGREGATE(15,6,A9:$A$19,1) -1,$B$5 +1),"*外*"),
COUNTIF(INDEX(INDIRECT("'" &amp;$B$4&amp;"'!A:AX"),_xlfn.AGGREGATE(15,6,A9:$A$19,1) -2,$B$5 +1),"*障害*") =0),"(外)")),"")</f>
        <v>1,200m</v>
      </c>
      <c r="I8" s="14" t="str" cm="1">
        <f t="array" aca="1" ref="I8" ca="1">IFERROR(IF(A8="","",_xlfn.IFS(
    COUNTIF(INDEX(INDIRECT("'"&amp;$B$4&amp;"'!A:AX"),_xlfn.AGGREGATE(15,6,A9:$A$19,1) -1,$B$5 +1),"*牡・牝*"),"牡・牝",
    COUNTIF(INDEX(INDIRECT("'"&amp;$B$4&amp;"'!A:AX"),_xlfn.AGGREGATE(15,6,A9:$A$19,1) -1,$B$5 +1),"*牝*"),"牝"
)),"")</f>
        <v/>
      </c>
    </row>
    <row r="9" spans="1:9" x14ac:dyDescent="0.1">
      <c r="A9" s="23">
        <f t="shared" ca="1" si="0"/>
        <v>7</v>
      </c>
      <c r="B9" s="31" cm="1">
        <f t="array" aca="1" ref="B9" ca="1">IFERROR(IF(INDEX(INDIRECT("'"&amp;$B$4&amp;"'!A:AX"),A9,$B$5 +2) &gt;0,INDEX(INDIRECT("'"&amp;$B$4&amp;"'!A:AX"),A9,$B$5 +2),""),"")</f>
        <v>0.44444444444444442</v>
      </c>
      <c r="C9" s="34">
        <v>3</v>
      </c>
      <c r="D9" s="41" t="str" cm="1">
        <f t="array" aca="1" ref="D9" ca="1">IFERROR(_xlfn.LET(_xlpm.差,A10-A9,_xlpm.対象列,$B$5 +1,_xlpm.検索範囲,INDEX(INDIRECT("'"&amp;$B$4&amp;"'!A:AX"),A9,_xlpm.対象列):
INDEX(INDIRECT("'"&amp;$B$4&amp;"'!A:AX"),A10 -1,_xlpm.対象列),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&gt;0,INDEX(_xlpm.検索範囲,_xlpm.ヒット位置),INDEX(INDIRECT("'"&amp;$B$4&amp;"'!A:AX"),A9 +1,_xlpm.対象列)),
IF(_xlpm.差 &gt; 2, INDEX(INDIRECT("'"&amp;$B$4&amp;"'!A:AX"), A9,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9" s="19" t="str" cm="1">
        <f t="array" aca="1" ref="E9" ca="1">IFERROR(IF(A9="","",_xlfn.LET(_xlpm.target,INDEX(INDIRECT("'"&amp;$B$4&amp;"'!A:AX"),_xlfn.AGGREGATE(15,6,A10:$A$19,1) -2,$B$5+1),_xlpm.pos,SEARCH("歳",_xlpm.target),IF(ISNUMBER(SEARCH("以上",_xlpm.target,_xlpm.pos)),MID(_xlpm.target,_xlpm.pos-1,4),MID(_xlpm.target,_xlpm.pos-1,2)))),"")</f>
        <v>3歳</v>
      </c>
      <c r="F9" s="27" t="str" cm="1">
        <f t="array" aca="1" ref="F9" ca="1">IFERROR(IF(A9="","",_xlfn.IFS(COUNTIF(INDEX(INDIRECT("'" &amp;$B$4&amp;"'!A:AX"),_xlfn.AGGREGATE(15,6,A10:$A$19,1) -2,$B$5 +1),"*障害*"),"障害")),"")
&amp;IFERROR(IF(A9="","",_xlfn.IFS(COUNTIF(INDEX(INDIRECT("'"&amp;$B$4&amp;"'!A:AX"),_xlfn.AGGREGATE(15,6,A10:$A$19,1) -2,$B$5 +1),"*未勝利*"),"未勝利",
COUNTIF(INDEX(INDIRECT("'"&amp;$B$4&amp;"'!A:AX"),_xlfn.AGGREGATE(15,6,A10:$A$19,1) -2,$B$5 +1),"*新馬*"),"新馬",
COUNTIF(INDEX(INDIRECT("'"&amp;$B$4&amp;"'!A:AX"),_xlfn.AGGREGATE(15,6,A10:$A$19,1) -2,$B$5 +1),"*1勝クラス*"),"1勝クラス",
COUNTIF(INDEX(INDIRECT("'"&amp;$B$4&amp;"'!A:AX"),_xlfn.AGGREGATE(15,6,A10:$A$19,1) -2,$B$5 +1),"*2勝クラス*"),"2勝クラス",
COUNTIF(INDEX(INDIRECT("'"&amp;$B$4&amp;"'!A:AX"),_xlfn.AGGREGATE(15,6,A10:$A$19,1) -2,$B$5 +1),"*3勝クラス*"),"3勝クラス",
COUNTIF(INDEX(INDIRECT("'"&amp;$B$4&amp;"'!A:AX"),_xlfn.AGGREGATE(15,6,A10:$A$19,1) -2,$B$5 +1),"*オープン*"),"オープン"
)),"")</f>
        <v>未勝利</v>
      </c>
      <c r="G9" s="10" t="str" cm="1">
        <f t="array" aca="1" ref="G9" ca="1">IFERROR(IF(A9="","",_xlfn.IFS(
COUNTIF(INDEX(INDIRECT("'"&amp;$B$4&amp;"'!A:AX"),_xlfn.AGGREGATE(15,6,A10:$A$19,1) -2,$B$5 +1),"*障害*"),"障",
COUNTIF(INDEX(INDIRECT("'"&amp;$B$4&amp;"'!A:AX"),_xlfn.AGGREGATE(15,6,A10:$A$19,1) -1,$B$5 +1),"*芝*"),"芝",
COUNTIF(INDEX(INDIRECT("'"&amp;$B$4&amp;"'!A:AX"),_xlfn.AGGREGATE(15,6,A10:$A$19,1) -1,$B$5 +1),"*ダ*"),"ダ"
)),"")</f>
        <v>ダ</v>
      </c>
      <c r="H9" s="45" t="str" cm="1">
        <f t="array" aca="1" ref="H9" ca="1">IFERROR(IF(A9="","",
_xlfn.IFS(COUNTIF(INDEX(INDIRECT("'" &amp;$B$4&amp;"'!A:AX"),_xlfn.AGGREGATE(15,6,A10:$A$19,1) -1,$B$5 +1),"*直*"),"直")),"")
&amp;IFERROR(IF(A9="","",
LEFT(INDEX(INDIRECT("'"&amp;$B$4&amp;"'!A:AX"),_xlfn.AGGREGATE(15,6,A10:$A$19,1) -1,$B$5 +1),5)&amp;"m"),"")
&amp;IFERROR(IF(A9="","",
_xlfn.IFS(AND(COUNTIF(INDEX(INDIRECT("'" &amp;$B$4&amp;"'!A:AX"),_xlfn.AGGREGATE(15,6,A10:$A$19,1) -1,$B$5 +1),"*外*"),
COUNTIF(INDEX(INDIRECT("'" &amp;$B$4&amp;"'!A:AX"),_xlfn.AGGREGATE(15,6,A10:$A$19,1) -2,$B$5 +1),"*障害*") =0),"(外)")),"")</f>
        <v>1,900m</v>
      </c>
      <c r="I9" s="14" t="str" cm="1">
        <f t="array" aca="1" ref="I9" ca="1">IFERROR(IF(A9="","",_xlfn.IFS(
    COUNTIF(INDEX(INDIRECT("'"&amp;$B$4&amp;"'!A:AX"),_xlfn.AGGREGATE(15,6,A10:$A$19,1) -1,$B$5 +1),"*牡・牝*"),"牡・牝",
    COUNTIF(INDEX(INDIRECT("'"&amp;$B$4&amp;"'!A:AX"),_xlfn.AGGREGATE(15,6,A10:$A$19,1) -1,$B$5 +1),"*牝*"),"牝"
)),"")</f>
        <v/>
      </c>
    </row>
    <row r="10" spans="1:9" x14ac:dyDescent="0.1">
      <c r="A10" s="23">
        <f t="shared" ca="1" si="0"/>
        <v>9</v>
      </c>
      <c r="B10" s="31" cm="1">
        <f t="array" aca="1" ref="B10" ca="1">IFERROR(IF(INDEX(INDIRECT("'"&amp;$B$4&amp;"'!A:AX"),A10,$B$5 +2) &gt;0,INDEX(INDIRECT("'"&amp;$B$4&amp;"'!A:AX"),A10,$B$5 +2),""),"")</f>
        <v>0.46527777777777779</v>
      </c>
      <c r="C10" s="34">
        <v>4</v>
      </c>
      <c r="D10" s="41" t="str" cm="1">
        <f t="array" aca="1" ref="D10" ca="1">IFERROR(_xlfn.LET(_xlpm.差,A11-A10,_xlpm.対象列,$B$5 +1,_xlpm.検索範囲,INDEX(INDIRECT("'"&amp;$B$4&amp;"'!A:AX"),A10,_xlpm.対象列):
INDEX(INDIRECT("'"&amp;$B$4&amp;"'!A:AX"),A11 -1,_xlpm.対象列),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&gt;0,INDEX(_xlpm.検索範囲,_xlpm.ヒット位置),INDEX(INDIRECT("'"&amp;$B$4&amp;"'!A:AX"),A10 +1,_xlpm.対象列)),
IF(_xlpm.差 &gt; 2, INDEX(INDIRECT("'"&amp;$B$4&amp;"'!A:AX"), A10,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10" s="19" t="str" cm="1">
        <f t="array" aca="1" ref="E10" ca="1">IFERROR(IF(A10="","",_xlfn.LET(_xlpm.target,INDEX(INDIRECT("'"&amp;$B$4&amp;"'!A:AX"),_xlfn.AGGREGATE(15,6,A11:$A$19,1) -2,$B$5+1),_xlpm.pos,SEARCH("歳",_xlpm.target),IF(ISNUMBER(SEARCH("以上",_xlpm.target,_xlpm.pos)),MID(_xlpm.target,_xlpm.pos-1,4),MID(_xlpm.target,_xlpm.pos-1,2)))),"")</f>
        <v>3歳</v>
      </c>
      <c r="F10" s="27" t="str" cm="1">
        <f t="array" aca="1" ref="F10" ca="1">IFERROR(IF(A10="","",_xlfn.IFS(COUNTIF(INDEX(INDIRECT("'" &amp;$B$4&amp;"'!A:AX"),_xlfn.AGGREGATE(15,6,A11:$A$19,1) -2,$B$5 +1),"*障害*"),"障害")),"")
&amp;IFERROR(IF(A10="","",_xlfn.IFS(COUNTIF(INDEX(INDIRECT("'"&amp;$B$4&amp;"'!A:AX"),_xlfn.AGGREGATE(15,6,A11:$A$19,1) -2,$B$5 +1),"*未勝利*"),"未勝利",
COUNTIF(INDEX(INDIRECT("'"&amp;$B$4&amp;"'!A:AX"),_xlfn.AGGREGATE(15,6,A11:$A$19,1) -2,$B$5 +1),"*新馬*"),"新馬",
COUNTIF(INDEX(INDIRECT("'"&amp;$B$4&amp;"'!A:AX"),_xlfn.AGGREGATE(15,6,A11:$A$19,1) -2,$B$5 +1),"*1勝クラス*"),"1勝クラス",
COUNTIF(INDEX(INDIRECT("'"&amp;$B$4&amp;"'!A:AX"),_xlfn.AGGREGATE(15,6,A11:$A$19,1) -2,$B$5 +1),"*2勝クラス*"),"2勝クラス",
COUNTIF(INDEX(INDIRECT("'"&amp;$B$4&amp;"'!A:AX"),_xlfn.AGGREGATE(15,6,A11:$A$19,1) -2,$B$5 +1),"*3勝クラス*"),"3勝クラス",
COUNTIF(INDEX(INDIRECT("'"&amp;$B$4&amp;"'!A:AX"),_xlfn.AGGREGATE(15,6,A11:$A$19,1) -2,$B$5 +1),"*オープン*"),"オープン"
)),"")</f>
        <v>未勝利</v>
      </c>
      <c r="G10" s="10" t="str" cm="1">
        <f t="array" aca="1" ref="G10" ca="1">IFERROR(IF(A10="","",_xlfn.IFS(
COUNTIF(INDEX(INDIRECT("'"&amp;$B$4&amp;"'!A:AX"),_xlfn.AGGREGATE(15,6,A11:$A$19,1) -2,$B$5 +1),"*障害*"),"障",
COUNTIF(INDEX(INDIRECT("'"&amp;$B$4&amp;"'!A:AX"),_xlfn.AGGREGATE(15,6,A11:$A$19,1) -1,$B$5 +1),"*芝*"),"芝",
COUNTIF(INDEX(INDIRECT("'"&amp;$B$4&amp;"'!A:AX"),_xlfn.AGGREGATE(15,6,A11:$A$19,1) -1,$B$5 +1),"*ダ*"),"ダ"
)),"")</f>
        <v>芝</v>
      </c>
      <c r="H10" s="45" t="str" cm="1">
        <f t="array" aca="1" ref="H10" ca="1">IFERROR(IF(A10="","",
_xlfn.IFS(COUNTIF(INDEX(INDIRECT("'" &amp;$B$4&amp;"'!A:AX"),_xlfn.AGGREGATE(15,6,A11:$A$19,1) -1,$B$5 +1),"*直*"),"直")),"")
&amp;IFERROR(IF(A10="","",
LEFT(INDEX(INDIRECT("'"&amp;$B$4&amp;"'!A:AX"),_xlfn.AGGREGATE(15,6,A11:$A$19,1) -1,$B$5 +1),5)&amp;"m"),"")
&amp;IFERROR(IF(A10="","",
_xlfn.IFS(AND(COUNTIF(INDEX(INDIRECT("'" &amp;$B$4&amp;"'!A:AX"),_xlfn.AGGREGATE(15,6,A11:$A$19,1) -1,$B$5 +1),"*外*"),
COUNTIF(INDEX(INDIRECT("'" &amp;$B$4&amp;"'!A:AX"),_xlfn.AGGREGATE(15,6,A11:$A$19,1) -2,$B$5 +1),"*障害*") =0),"(外)")),"")</f>
        <v>1,600m</v>
      </c>
      <c r="I10" s="14" t="str" cm="1">
        <f t="array" aca="1" ref="I10" ca="1">IFERROR(IF(A10="","",_xlfn.IFS(
    COUNTIF(INDEX(INDIRECT("'"&amp;$B$4&amp;"'!A:AX"),_xlfn.AGGREGATE(15,6,A11:$A$19,1) -1,$B$5 +1),"*牡・牝*"),"牡・牝",
    COUNTIF(INDEX(INDIRECT("'"&amp;$B$4&amp;"'!A:AX"),_xlfn.AGGREGATE(15,6,A11:$A$19,1) -1,$B$5 +1),"*牝*"),"牝"
)),"")</f>
        <v/>
      </c>
    </row>
    <row r="11" spans="1:9" x14ac:dyDescent="0.1">
      <c r="A11" s="23">
        <f t="shared" ca="1" si="0"/>
        <v>11</v>
      </c>
      <c r="B11" s="31" cm="1">
        <f t="array" aca="1" ref="B11" ca="1">IFERROR(IF(INDEX(INDIRECT("'"&amp;$B$4&amp;"'!A:AX"),A11,$B$5 +2) &gt;0,INDEX(INDIRECT("'"&amp;$B$4&amp;"'!A:AX"),A11,$B$5 +2),""),"")</f>
        <v>0.5</v>
      </c>
      <c r="C11" s="34">
        <v>5</v>
      </c>
      <c r="D11" s="41" t="str" cm="1">
        <f t="array" aca="1" ref="D11" ca="1">IFERROR(_xlfn.LET(_xlpm.差,A12-A11,_xlpm.対象列,$B$5 +1,_xlpm.検索範囲,INDEX(INDIRECT("'"&amp;$B$4&amp;"'!A:AX"),A11,_xlpm.対象列):
INDEX(INDIRECT("'"&amp;$B$4&amp;"'!A:AX"),A12 -1,_xlpm.対象列),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&gt;0,INDEX(_xlpm.検索範囲,_xlpm.ヒット位置),INDEX(INDIRECT("'"&amp;$B$4&amp;"'!A:AX"),A11 +1,_xlpm.対象列)),
IF(_xlpm.差 &gt; 2, INDEX(INDIRECT("'"&amp;$B$4&amp;"'!A:AX"), A11,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11" s="19" t="str" cm="1">
        <f t="array" aca="1" ref="E11" ca="1">IFERROR(IF(A11="","",_xlfn.LET(_xlpm.target,INDEX(INDIRECT("'"&amp;$B$4&amp;"'!A:AX"),_xlfn.AGGREGATE(15,6,A12:$A$19,1) -2,$B$5+1),_xlpm.pos,SEARCH("歳",_xlpm.target),IF(ISNUMBER(SEARCH("以上",_xlpm.target,_xlpm.pos)),MID(_xlpm.target,_xlpm.pos-1,4),MID(_xlpm.target,_xlpm.pos-1,2)))),"")</f>
        <v>3歳</v>
      </c>
      <c r="F11" s="27" t="str" cm="1">
        <f t="array" aca="1" ref="F11" ca="1">IFERROR(IF(A11="","",_xlfn.IFS(COUNTIF(INDEX(INDIRECT("'" &amp;$B$4&amp;"'!A:AX"),_xlfn.AGGREGATE(15,6,A12:$A$19,1) -2,$B$5 +1),"*障害*"),"障害")),"")
&amp;IFERROR(IF(A11="","",_xlfn.IFS(COUNTIF(INDEX(INDIRECT("'"&amp;$B$4&amp;"'!A:AX"),_xlfn.AGGREGATE(15,6,A12:$A$19,1) -2,$B$5 +1),"*未勝利*"),"未勝利",
COUNTIF(INDEX(INDIRECT("'"&amp;$B$4&amp;"'!A:AX"),_xlfn.AGGREGATE(15,6,A12:$A$19,1) -2,$B$5 +1),"*新馬*"),"新馬",
COUNTIF(INDEX(INDIRECT("'"&amp;$B$4&amp;"'!A:AX"),_xlfn.AGGREGATE(15,6,A12:$A$19,1) -2,$B$5 +1),"*1勝クラス*"),"1勝クラス",
COUNTIF(INDEX(INDIRECT("'"&amp;$B$4&amp;"'!A:AX"),_xlfn.AGGREGATE(15,6,A12:$A$19,1) -2,$B$5 +1),"*2勝クラス*"),"2勝クラス",
COUNTIF(INDEX(INDIRECT("'"&amp;$B$4&amp;"'!A:AX"),_xlfn.AGGREGATE(15,6,A12:$A$19,1) -2,$B$5 +1),"*3勝クラス*"),"3勝クラス",
COUNTIF(INDEX(INDIRECT("'"&amp;$B$4&amp;"'!A:AX"),_xlfn.AGGREGATE(15,6,A12:$A$19,1) -2,$B$5 +1),"*オープン*"),"オープン"
)),"")</f>
        <v>未勝利</v>
      </c>
      <c r="G11" s="10" t="str" cm="1">
        <f t="array" aca="1" ref="G11" ca="1">IFERROR(IF(A11="","",_xlfn.IFS(
COUNTIF(INDEX(INDIRECT("'"&amp;$B$4&amp;"'!A:AX"),_xlfn.AGGREGATE(15,6,A12:$A$19,1) -2,$B$5 +1),"*障害*"),"障",
COUNTIF(INDEX(INDIRECT("'"&amp;$B$4&amp;"'!A:AX"),_xlfn.AGGREGATE(15,6,A12:$A$19,1) -1,$B$5 +1),"*芝*"),"芝",
COUNTIF(INDEX(INDIRECT("'"&amp;$B$4&amp;"'!A:AX"),_xlfn.AGGREGATE(15,6,A12:$A$19,1) -1,$B$5 +1),"*ダ*"),"ダ"
)),"")</f>
        <v>芝</v>
      </c>
      <c r="H11" s="45" t="str" cm="1">
        <f t="array" aca="1" ref="H11" ca="1">IFERROR(IF(A11="","",
_xlfn.IFS(COUNTIF(INDEX(INDIRECT("'" &amp;$B$4&amp;"'!A:AX"),_xlfn.AGGREGATE(15,6,A12:$A$19,1) -1,$B$5 +1),"*直*"),"直")),"")
&amp;IFERROR(IF(A11="","",
LEFT(INDEX(INDIRECT("'"&amp;$B$4&amp;"'!A:AX"),_xlfn.AGGREGATE(15,6,A12:$A$19,1) -1,$B$5 +1),5)&amp;"m"),"")
&amp;IFERROR(IF(A11="","",
_xlfn.IFS(AND(COUNTIF(INDEX(INDIRECT("'" &amp;$B$4&amp;"'!A:AX"),_xlfn.AGGREGATE(15,6,A12:$A$19,1) -1,$B$5 +1),"*外*"),
COUNTIF(INDEX(INDIRECT("'" &amp;$B$4&amp;"'!A:AX"),_xlfn.AGGREGATE(15,6,A12:$A$19,1) -2,$B$5 +1),"*障害*") =0),"(外)")),"")</f>
        <v>2,000m</v>
      </c>
      <c r="I11" s="14" t="str" cm="1">
        <f t="array" aca="1" ref="I11" ca="1">IFERROR(IF(A11="","",_xlfn.IFS(
    COUNTIF(INDEX(INDIRECT("'"&amp;$B$4&amp;"'!A:AX"),_xlfn.AGGREGATE(15,6,A12:$A$19,1) -1,$B$5 +1),"*牡・牝*"),"牡・牝",
    COUNTIF(INDEX(INDIRECT("'"&amp;$B$4&amp;"'!A:AX"),_xlfn.AGGREGATE(15,6,A12:$A$19,1) -1,$B$5 +1),"*牝*"),"牝"
)),"")</f>
        <v/>
      </c>
    </row>
    <row r="12" spans="1:9" x14ac:dyDescent="0.1">
      <c r="A12" s="23">
        <f t="shared" ca="1" si="0"/>
        <v>13</v>
      </c>
      <c r="B12" s="31" cm="1">
        <f t="array" aca="1" ref="B12" ca="1">IFERROR(IF(INDEX(INDIRECT("'"&amp;$B$4&amp;"'!A:AX"),A12,$B$5 +2) &gt;0,INDEX(INDIRECT("'"&amp;$B$4&amp;"'!A:AX"),A12,$B$5 +2),""),"")</f>
        <v>0.52083333333333337</v>
      </c>
      <c r="C12" s="34">
        <v>6</v>
      </c>
      <c r="D12" s="41" t="str" cm="1">
        <f t="array" aca="1" ref="D12" ca="1">IFERROR(_xlfn.LET(_xlpm.差,A13-A12,_xlpm.対象列,$B$5 +1,_xlpm.検索範囲,INDEX(INDIRECT("'"&amp;$B$4&amp;"'!A:AX"),A12,_xlpm.対象列):
INDEX(INDIRECT("'"&amp;$B$4&amp;"'!A:AX"),A13 -1,_xlpm.対象列),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&gt;0,INDEX(_xlpm.検索範囲,_xlpm.ヒット位置),INDEX(INDIRECT("'"&amp;$B$4&amp;"'!A:AX"),A12 +1,_xlpm.対象列)),
IF(_xlpm.差 &gt; 2, INDEX(INDIRECT("'"&amp;$B$4&amp;"'!A:AX"), A12,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12" s="19" t="str" cm="1">
        <f t="array" aca="1" ref="E12" ca="1">IFERROR(IF(A12="","",_xlfn.LET(_xlpm.target,INDEX(INDIRECT("'"&amp;$B$4&amp;"'!A:AX"),_xlfn.AGGREGATE(15,6,A13:$A$19,1) -2,$B$5+1),_xlpm.pos,SEARCH("歳",_xlpm.target),IF(ISNUMBER(SEARCH("以上",_xlpm.target,_xlpm.pos)),MID(_xlpm.target,_xlpm.pos-1,4),MID(_xlpm.target,_xlpm.pos-1,2)))),"")</f>
        <v>3歳</v>
      </c>
      <c r="F12" s="27" t="str" cm="1">
        <f t="array" aca="1" ref="F12" ca="1">IFERROR(IF(A12="","",_xlfn.IFS(COUNTIF(INDEX(INDIRECT("'" &amp;$B$4&amp;"'!A:AX"),_xlfn.AGGREGATE(15,6,A13:$A$19,1) -2,$B$5 +1),"*障害*"),"障害")),"")
&amp;IFERROR(IF(A12="","",_xlfn.IFS(COUNTIF(INDEX(INDIRECT("'"&amp;$B$4&amp;"'!A:AX"),_xlfn.AGGREGATE(15,6,A13:$A$19,1) -2,$B$5 +1),"*未勝利*"),"未勝利",
COUNTIF(INDEX(INDIRECT("'"&amp;$B$4&amp;"'!A:AX"),_xlfn.AGGREGATE(15,6,A13:$A$19,1) -2,$B$5 +1),"*新馬*"),"新馬",
COUNTIF(INDEX(INDIRECT("'"&amp;$B$4&amp;"'!A:AX"),_xlfn.AGGREGATE(15,6,A13:$A$19,1) -2,$B$5 +1),"*1勝クラス*"),"1勝クラス",
COUNTIF(INDEX(INDIRECT("'"&amp;$B$4&amp;"'!A:AX"),_xlfn.AGGREGATE(15,6,A13:$A$19,1) -2,$B$5 +1),"*2勝クラス*"),"2勝クラス",
COUNTIF(INDEX(INDIRECT("'"&amp;$B$4&amp;"'!A:AX"),_xlfn.AGGREGATE(15,6,A13:$A$19,1) -2,$B$5 +1),"*3勝クラス*"),"3勝クラス",
COUNTIF(INDEX(INDIRECT("'"&amp;$B$4&amp;"'!A:AX"),_xlfn.AGGREGATE(15,6,A13:$A$19,1) -2,$B$5 +1),"*オープン*"),"オープン"
)),"")</f>
        <v>1勝クラス</v>
      </c>
      <c r="G12" s="10" t="str" cm="1">
        <f t="array" aca="1" ref="G12" ca="1">IFERROR(IF(A12="","",_xlfn.IFS(
COUNTIF(INDEX(INDIRECT("'"&amp;$B$4&amp;"'!A:AX"),_xlfn.AGGREGATE(15,6,A13:$A$19,1) -2,$B$5 +1),"*障害*"),"障",
COUNTIF(INDEX(INDIRECT("'"&amp;$B$4&amp;"'!A:AX"),_xlfn.AGGREGATE(15,6,A13:$A$19,1) -1,$B$5 +1),"*芝*"),"芝",
COUNTIF(INDEX(INDIRECT("'"&amp;$B$4&amp;"'!A:AX"),_xlfn.AGGREGATE(15,6,A13:$A$19,1) -1,$B$5 +1),"*ダ*"),"ダ"
)),"")</f>
        <v>ダ</v>
      </c>
      <c r="H12" s="45" t="str" cm="1">
        <f t="array" aca="1" ref="H12" ca="1">IFERROR(IF(A12="","",
_xlfn.IFS(COUNTIF(INDEX(INDIRECT("'" &amp;$B$4&amp;"'!A:AX"),_xlfn.AGGREGATE(15,6,A13:$A$19,1) -1,$B$5 +1),"*直*"),"直")),"")
&amp;IFERROR(IF(A12="","",
LEFT(INDEX(INDIRECT("'"&amp;$B$4&amp;"'!A:AX"),_xlfn.AGGREGATE(15,6,A13:$A$19,1) -1,$B$5 +1),5)&amp;"m"),"")
&amp;IFERROR(IF(A12="","",
_xlfn.IFS(AND(COUNTIF(INDEX(INDIRECT("'" &amp;$B$4&amp;"'!A:AX"),_xlfn.AGGREGATE(15,6,A13:$A$19,1) -1,$B$5 +1),"*外*"),
COUNTIF(INDEX(INDIRECT("'" &amp;$B$4&amp;"'!A:AX"),_xlfn.AGGREGATE(15,6,A13:$A$19,1) -2,$B$5 +1),"*障害*") =0),"(外)")),"")</f>
        <v>1,800m</v>
      </c>
      <c r="I12" s="14" t="str" cm="1">
        <f t="array" aca="1" ref="I12" ca="1">IFERROR(IF(A12="","",_xlfn.IFS(
    COUNTIF(INDEX(INDIRECT("'"&amp;$B$4&amp;"'!A:AX"),_xlfn.AGGREGATE(15,6,A13:$A$19,1) -1,$B$5 +1),"*牡・牝*"),"牡・牝",
    COUNTIF(INDEX(INDIRECT("'"&amp;$B$4&amp;"'!A:AX"),_xlfn.AGGREGATE(15,6,A13:$A$19,1) -1,$B$5 +1),"*牝*"),"牝"
)),"")</f>
        <v/>
      </c>
    </row>
    <row r="13" spans="1:9" x14ac:dyDescent="0.1">
      <c r="A13" s="23">
        <f t="shared" ca="1" si="0"/>
        <v>15</v>
      </c>
      <c r="B13" s="31" cm="1">
        <f t="array" aca="1" ref="B13" ca="1">IFERROR(IF(INDEX(INDIRECT("'"&amp;$B$4&amp;"'!A:AX"),A13,$B$5 +2) &gt;0,INDEX(INDIRECT("'"&amp;$B$4&amp;"'!A:AX"),A13,$B$5 +2),""),"")</f>
        <v>0.54166666666666663</v>
      </c>
      <c r="C13" s="34">
        <v>7</v>
      </c>
      <c r="D13" s="41" t="str" cm="1">
        <f t="array" aca="1" ref="D13" ca="1">IFERROR(_xlfn.LET(_xlpm.差,A14-A13,_xlpm.対象列,$B$5 +1,_xlpm.検索範囲,INDEX(INDIRECT("'"&amp;$B$4&amp;"'!A:AX"),A13,_xlpm.対象列):
INDEX(INDIRECT("'"&amp;$B$4&amp;"'!A:AX"),A14 -1,_xlpm.対象列),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&gt;0,INDEX(_xlpm.検索範囲,_xlpm.ヒット位置),INDEX(INDIRECT("'"&amp;$B$4&amp;"'!A:AX"),A13 +1,_xlpm.対象列)),
IF(_xlpm.差 &gt; 2, INDEX(INDIRECT("'"&amp;$B$4&amp;"'!A:AX"), A13,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13" s="19" t="str" cm="1">
        <f t="array" aca="1" ref="E13" ca="1">IFERROR(IF(A13="","",_xlfn.LET(_xlpm.target,INDEX(INDIRECT("'"&amp;$B$4&amp;"'!A:AX"),_xlfn.AGGREGATE(15,6,A14:$A$19,1) -2,$B$5+1),_xlpm.pos,SEARCH("歳",_xlpm.target),IF(ISNUMBER(SEARCH("以上",_xlpm.target,_xlpm.pos)),MID(_xlpm.target,_xlpm.pos-1,4),MID(_xlpm.target,_xlpm.pos-1,2)))),"")</f>
        <v>4歳以上</v>
      </c>
      <c r="F13" s="27" t="str" cm="1">
        <f t="array" aca="1" ref="F13" ca="1">IFERROR(IF(A13="","",_xlfn.IFS(COUNTIF(INDEX(INDIRECT("'" &amp;$B$4&amp;"'!A:AX"),_xlfn.AGGREGATE(15,6,A14:$A$19,1) -2,$B$5 +1),"*障害*"),"障害")),"")
&amp;IFERROR(IF(A13="","",_xlfn.IFS(COUNTIF(INDEX(INDIRECT("'"&amp;$B$4&amp;"'!A:AX"),_xlfn.AGGREGATE(15,6,A14:$A$19,1) -2,$B$5 +1),"*未勝利*"),"未勝利",
COUNTIF(INDEX(INDIRECT("'"&amp;$B$4&amp;"'!A:AX"),_xlfn.AGGREGATE(15,6,A14:$A$19,1) -2,$B$5 +1),"*新馬*"),"新馬",
COUNTIF(INDEX(INDIRECT("'"&amp;$B$4&amp;"'!A:AX"),_xlfn.AGGREGATE(15,6,A14:$A$19,1) -2,$B$5 +1),"*1勝クラス*"),"1勝クラス",
COUNTIF(INDEX(INDIRECT("'"&amp;$B$4&amp;"'!A:AX"),_xlfn.AGGREGATE(15,6,A14:$A$19,1) -2,$B$5 +1),"*2勝クラス*"),"2勝クラス",
COUNTIF(INDEX(INDIRECT("'"&amp;$B$4&amp;"'!A:AX"),_xlfn.AGGREGATE(15,6,A14:$A$19,1) -2,$B$5 +1),"*3勝クラス*"),"3勝クラス",
COUNTIF(INDEX(INDIRECT("'"&amp;$B$4&amp;"'!A:AX"),_xlfn.AGGREGATE(15,6,A14:$A$19,1) -2,$B$5 +1),"*オープン*"),"オープン"
)),"")</f>
        <v>1勝クラス</v>
      </c>
      <c r="G13" s="10" t="str" cm="1">
        <f t="array" aca="1" ref="G13" ca="1">IFERROR(IF(A13="","",_xlfn.IFS(
COUNTIF(INDEX(INDIRECT("'"&amp;$B$4&amp;"'!A:AX"),_xlfn.AGGREGATE(15,6,A14:$A$19,1) -2,$B$5 +1),"*障害*"),"障",
COUNTIF(INDEX(INDIRECT("'"&amp;$B$4&amp;"'!A:AX"),_xlfn.AGGREGATE(15,6,A14:$A$19,1) -1,$B$5 +1),"*芝*"),"芝",
COUNTIF(INDEX(INDIRECT("'"&amp;$B$4&amp;"'!A:AX"),_xlfn.AGGREGATE(15,6,A14:$A$19,1) -1,$B$5 +1),"*ダ*"),"ダ"
)),"")</f>
        <v>芝</v>
      </c>
      <c r="H13" s="45" t="str" cm="1">
        <f t="array" aca="1" ref="H13" ca="1">IFERROR(IF(A13="","",
_xlfn.IFS(COUNTIF(INDEX(INDIRECT("'" &amp;$B$4&amp;"'!A:AX"),_xlfn.AGGREGATE(15,6,A14:$A$19,1) -1,$B$5 +1),"*直*"),"直")),"")
&amp;IFERROR(IF(A13="","",
LEFT(INDEX(INDIRECT("'"&amp;$B$4&amp;"'!A:AX"),_xlfn.AGGREGATE(15,6,A14:$A$19,1) -1,$B$5 +1),5)&amp;"m"),"")
&amp;IFERROR(IF(A13="","",
_xlfn.IFS(AND(COUNTIF(INDEX(INDIRECT("'" &amp;$B$4&amp;"'!A:AX"),_xlfn.AGGREGATE(15,6,A14:$A$19,1) -1,$B$5 +1),"*外*"),
COUNTIF(INDEX(INDIRECT("'" &amp;$B$4&amp;"'!A:AX"),_xlfn.AGGREGATE(15,6,A14:$A$19,1) -2,$B$5 +1),"*障害*") =0),"(外)")),"")</f>
        <v>1,600m</v>
      </c>
      <c r="I13" s="14" t="str" cm="1">
        <f t="array" aca="1" ref="I13" ca="1">IFERROR(IF(A13="","",_xlfn.IFS(
    COUNTIF(INDEX(INDIRECT("'"&amp;$B$4&amp;"'!A:AX"),_xlfn.AGGREGATE(15,6,A14:$A$19,1) -1,$B$5 +1),"*牡・牝*"),"牡・牝",
    COUNTIF(INDEX(INDIRECT("'"&amp;$B$4&amp;"'!A:AX"),_xlfn.AGGREGATE(15,6,A14:$A$19,1) -1,$B$5 +1),"*牝*"),"牝"
)),"")</f>
        <v/>
      </c>
    </row>
    <row r="14" spans="1:9" x14ac:dyDescent="0.1">
      <c r="A14" s="23">
        <f ca="1">IFERROR(MATCH(C14&amp;"レース",INDEX(INDIRECT("'"&amp;$B$4&amp;"'!A:AX"),0,$B$5),0),"")</f>
        <v>17</v>
      </c>
      <c r="B14" s="31" cm="1">
        <f t="array" aca="1" ref="B14" ca="1">IFERROR(IF(INDEX(INDIRECT("'"&amp;$B$4&amp;"'!A:AX"),A14,$B$5 +2) &gt;0,INDEX(INDIRECT("'"&amp;$B$4&amp;"'!A:AX"),A14,$B$5 +2),""),"")</f>
        <v>0.56597222222222221</v>
      </c>
      <c r="C14" s="34">
        <v>8</v>
      </c>
      <c r="D14" s="41" t="str" cm="1">
        <f t="array" aca="1" ref="D14" ca="1">IFERROR(_xlfn.LET(_xlpm.差,A15-A14,_xlpm.対象列,$B$5 +1,_xlpm.検索範囲,INDEX(INDIRECT("'"&amp;$B$4&amp;"'!A:AX"),A14,_xlpm.対象列):
INDEX(INDIRECT("'"&amp;$B$4&amp;"'!A:AX"),A15 -1,_xlpm.対象列),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&gt;0,INDEX(_xlpm.検索範囲,_xlpm.ヒット位置),INDEX(INDIRECT("'"&amp;$B$4&amp;"'!A:AX"),A14 +1,_xlpm.対象列)),
IF(_xlpm.差 &gt; 2, INDEX(INDIRECT("'"&amp;$B$4&amp;"'!A:AX"), A14,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14" s="19" t="str" cm="1">
        <f t="array" aca="1" ref="E14" ca="1">IFERROR(IF(A14="","",_xlfn.LET(_xlpm.target,INDEX(INDIRECT("'"&amp;$B$4&amp;"'!A:AX"),_xlfn.AGGREGATE(15,6,A15:$A$19,1) -2,$B$5+1),_xlpm.pos,SEARCH("歳",_xlpm.target),IF(ISNUMBER(SEARCH("以上",_xlpm.target,_xlpm.pos)),MID(_xlpm.target,_xlpm.pos-1,4),MID(_xlpm.target,_xlpm.pos-1,2)))),"")</f>
        <v>4歳以上</v>
      </c>
      <c r="F14" s="27" t="str" cm="1">
        <f t="array" aca="1" ref="F14" ca="1">IFERROR(IF(A14="","",_xlfn.IFS(COUNTIF(INDEX(INDIRECT("'" &amp;$B$4&amp;"'!A:AX"),_xlfn.AGGREGATE(15,6,A15:$A$19,1) -2,$B$5 +1),"*障害*"),"障害")),"")
&amp;IFERROR(IF(A14="","",_xlfn.IFS(COUNTIF(INDEX(INDIRECT("'"&amp;$B$4&amp;"'!A:AX"),_xlfn.AGGREGATE(15,6,A15:$A$19,1) -2,$B$5 +1),"*未勝利*"),"未勝利",
COUNTIF(INDEX(INDIRECT("'"&amp;$B$4&amp;"'!A:AX"),_xlfn.AGGREGATE(15,6,A15:$A$19,1) -2,$B$5 +1),"*新馬*"),"新馬",
COUNTIF(INDEX(INDIRECT("'"&amp;$B$4&amp;"'!A:AX"),_xlfn.AGGREGATE(15,6,A15:$A$19,1) -2,$B$5 +1),"*1勝クラス*"),"1勝クラス",
COUNTIF(INDEX(INDIRECT("'"&amp;$B$4&amp;"'!A:AX"),_xlfn.AGGREGATE(15,6,A15:$A$19,1) -2,$B$5 +1),"*2勝クラス*"),"2勝クラス",
COUNTIF(INDEX(INDIRECT("'"&amp;$B$4&amp;"'!A:AX"),_xlfn.AGGREGATE(15,6,A15:$A$19,1) -2,$B$5 +1),"*3勝クラス*"),"3勝クラス",
COUNTIF(INDEX(INDIRECT("'"&amp;$B$4&amp;"'!A:AX"),_xlfn.AGGREGATE(15,6,A15:$A$19,1) -2,$B$5 +1),"*オープン*"),"オープン"
)),"")</f>
        <v>1勝クラス</v>
      </c>
      <c r="G14" s="10" t="str" cm="1">
        <f t="array" aca="1" ref="G14" ca="1">IFERROR(IF(A14="","",_xlfn.IFS(
COUNTIF(INDEX(INDIRECT("'"&amp;$B$4&amp;"'!A:AX"),_xlfn.AGGREGATE(15,6,A15:$A$19,1) -2,$B$5 +1),"*障害*"),"障",
COUNTIF(INDEX(INDIRECT("'"&amp;$B$4&amp;"'!A:AX"),_xlfn.AGGREGATE(15,6,A15:$A$19,1) -1,$B$5 +1),"*芝*"),"芝",
COUNTIF(INDEX(INDIRECT("'"&amp;$B$4&amp;"'!A:AX"),_xlfn.AGGREGATE(15,6,A15:$A$19,1) -1,$B$5 +1),"*ダ*"),"ダ"
)),"")</f>
        <v>ダ</v>
      </c>
      <c r="H14" s="45" t="str" cm="1">
        <f t="array" aca="1" ref="H14" ca="1">IFERROR(IF(A14="","",
_xlfn.IFS(COUNTIF(INDEX(INDIRECT("'" &amp;$B$4&amp;"'!A:AX"),_xlfn.AGGREGATE(15,6,A15:$A$19,1) -1,$B$5 +1),"*直*"),"直")),"")
&amp;IFERROR(IF(A14="","",
LEFT(INDEX(INDIRECT("'"&amp;$B$4&amp;"'!A:AX"),_xlfn.AGGREGATE(15,6,A15:$A$19,1) -1,$B$5 +1),5)&amp;"m"),"")
&amp;IFERROR(IF(A14="","",
_xlfn.IFS(AND(COUNTIF(INDEX(INDIRECT("'" &amp;$B$4&amp;"'!A:AX"),_xlfn.AGGREGATE(15,6,A15:$A$19,1) -1,$B$5 +1),"*外*"),
COUNTIF(INDEX(INDIRECT("'" &amp;$B$4&amp;"'!A:AX"),_xlfn.AGGREGATE(15,6,A15:$A$19,1) -2,$B$5 +1),"*障害*") =0),"(外)")),"")</f>
        <v>1,200m</v>
      </c>
      <c r="I14" s="14" t="str" cm="1">
        <f t="array" aca="1" ref="I14" ca="1">IFERROR(IF(A14="","",_xlfn.IFS(
    COUNTIF(INDEX(INDIRECT("'"&amp;$B$4&amp;"'!A:AX"),_xlfn.AGGREGATE(15,6,A15:$A$19,1) -1,$B$5 +1),"*牡・牝*"),"牡・牝",
    COUNTIF(INDEX(INDIRECT("'"&amp;$B$4&amp;"'!A:AX"),_xlfn.AGGREGATE(15,6,A15:$A$19,1) -1,$B$5 +1),"*牝*"),"牝"
)),"")</f>
        <v/>
      </c>
    </row>
    <row r="15" spans="1:9" x14ac:dyDescent="0.1">
      <c r="A15" s="23">
        <f t="shared" ca="1" si="0"/>
        <v>19</v>
      </c>
      <c r="B15" s="31" cm="1">
        <f t="array" aca="1" ref="B15" ca="1">IFERROR(IF(INDEX(INDIRECT("'"&amp;$B$4&amp;"'!A:AX"),A15,$B$5 +2) &gt;0,INDEX(INDIRECT("'"&amp;$B$4&amp;"'!A:AX"),A15,$B$5 +2),""),"")</f>
        <v>0.59027777777777779</v>
      </c>
      <c r="C15" s="34">
        <v>9</v>
      </c>
      <c r="D15" s="41" t="str" cm="1">
        <f t="array" aca="1" ref="D15" ca="1">IFERROR(_xlfn.LET(_xlpm.差,A16-A15,_xlpm.対象列,$B$5 +1,_xlpm.検索範囲,INDEX(INDIRECT("'"&amp;$B$4&amp;"'!A:AX"),A15,_xlpm.対象列):
INDEX(INDIRECT("'"&amp;$B$4&amp;"'!A:AX"),A16 -1,_xlpm.対象列),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&gt;0,INDEX(_xlpm.検索範囲,_xlpm.ヒット位置),INDEX(INDIRECT("'"&amp;$B$4&amp;"'!A:AX"),A15 +1,_xlpm.対象列)),
IF(_xlpm.差 &gt; 2, INDEX(INDIRECT("'"&amp;$B$4&amp;"'!A:AX"), A15,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>鶴舞特別</v>
      </c>
      <c r="E15" s="19" t="str" cm="1">
        <f t="array" aca="1" ref="E15" ca="1">IFERROR(IF(A15="","",_xlfn.LET(_xlpm.target,INDEX(INDIRECT("'"&amp;$B$4&amp;"'!A:AX"),_xlfn.AGGREGATE(15,6,A16:$A$19,1) -2,$B$5+1),_xlpm.pos,SEARCH("歳",_xlpm.target),IF(ISNUMBER(SEARCH("以上",_xlpm.target,_xlpm.pos)),MID(_xlpm.target,_xlpm.pos-1,4),MID(_xlpm.target,_xlpm.pos-1,2)))),"")</f>
        <v>4歳以上</v>
      </c>
      <c r="F15" s="27" t="str" cm="1">
        <f t="array" aca="1" ref="F15" ca="1">IFERROR(IF(A15="","",_xlfn.IFS(COUNTIF(INDEX(INDIRECT("'" &amp;$B$4&amp;"'!A:AX"),_xlfn.AGGREGATE(15,6,A16:$A$19,1) -2,$B$5 +1),"*障害*"),"障害")),"")
&amp;IFERROR(IF(A15="","",_xlfn.IFS(COUNTIF(INDEX(INDIRECT("'"&amp;$B$4&amp;"'!A:AX"),_xlfn.AGGREGATE(15,6,A16:$A$19,1) -2,$B$5 +1),"*未勝利*"),"未勝利",
COUNTIF(INDEX(INDIRECT("'"&amp;$B$4&amp;"'!A:AX"),_xlfn.AGGREGATE(15,6,A16:$A$19,1) -2,$B$5 +1),"*新馬*"),"新馬",
COUNTIF(INDEX(INDIRECT("'"&amp;$B$4&amp;"'!A:AX"),_xlfn.AGGREGATE(15,6,A16:$A$19,1) -2,$B$5 +1),"*1勝クラス*"),"1勝クラス",
COUNTIF(INDEX(INDIRECT("'"&amp;$B$4&amp;"'!A:AX"),_xlfn.AGGREGATE(15,6,A16:$A$19,1) -2,$B$5 +1),"*2勝クラス*"),"2勝クラス",
COUNTIF(INDEX(INDIRECT("'"&amp;$B$4&amp;"'!A:AX"),_xlfn.AGGREGATE(15,6,A16:$A$19,1) -2,$B$5 +1),"*3勝クラス*"),"3勝クラス",
COUNTIF(INDEX(INDIRECT("'"&amp;$B$4&amp;"'!A:AX"),_xlfn.AGGREGATE(15,6,A16:$A$19,1) -2,$B$5 +1),"*オープン*"),"オープン"
)),"")</f>
        <v>1勝クラス</v>
      </c>
      <c r="G15" s="10" t="str" cm="1">
        <f t="array" aca="1" ref="G15" ca="1">IFERROR(IF(A15="","",_xlfn.IFS(
COUNTIF(INDEX(INDIRECT("'"&amp;$B$4&amp;"'!A:AX"),_xlfn.AGGREGATE(15,6,A16:$A$19,1) -2,$B$5 +1),"*障害*"),"障",
COUNTIF(INDEX(INDIRECT("'"&amp;$B$4&amp;"'!A:AX"),_xlfn.AGGREGATE(15,6,A16:$A$19,1) -1,$B$5 +1),"*芝*"),"芝",
COUNTIF(INDEX(INDIRECT("'"&amp;$B$4&amp;"'!A:AX"),_xlfn.AGGREGATE(15,6,A16:$A$19,1) -1,$B$5 +1),"*ダ*"),"ダ"
)),"")</f>
        <v>芝</v>
      </c>
      <c r="H15" s="45" t="str" cm="1">
        <f t="array" aca="1" ref="H15" ca="1">IFERROR(IF(A15="","",
_xlfn.IFS(COUNTIF(INDEX(INDIRECT("'" &amp;$B$4&amp;"'!A:AX"),_xlfn.AGGREGATE(15,6,A16:$A$19,1) -1,$B$5 +1),"*直*"),"直")),"")
&amp;IFERROR(IF(A15="","",
LEFT(INDEX(INDIRECT("'"&amp;$B$4&amp;"'!A:AX"),_xlfn.AGGREGATE(15,6,A16:$A$19,1) -1,$B$5 +1),5)&amp;"m"),"")
&amp;IFERROR(IF(A15="","",
_xlfn.IFS(AND(COUNTIF(INDEX(INDIRECT("'" &amp;$B$4&amp;"'!A:AX"),_xlfn.AGGREGATE(15,6,A16:$A$19,1) -1,$B$5 +1),"*外*"),
COUNTIF(INDEX(INDIRECT("'" &amp;$B$4&amp;"'!A:AX"),_xlfn.AGGREGATE(15,6,A16:$A$19,1) -2,$B$5 +1),"*障害*") =0),"(外)")),"")</f>
        <v>2,200m</v>
      </c>
      <c r="I15" s="14" t="str" cm="1">
        <f t="array" aca="1" ref="I15" ca="1">IFERROR(IF(A15="","",_xlfn.IFS(
    COUNTIF(INDEX(INDIRECT("'"&amp;$B$4&amp;"'!A:AX"),_xlfn.AGGREGATE(15,6,A16:$A$19,1) -1,$B$5 +1),"*牡・牝*"),"牡・牝",
    COUNTIF(INDEX(INDIRECT("'"&amp;$B$4&amp;"'!A:AX"),_xlfn.AGGREGATE(15,6,A16:$A$19,1) -1,$B$5 +1),"*牝*"),"牝"
)),"")</f>
        <v/>
      </c>
    </row>
    <row r="16" spans="1:9" x14ac:dyDescent="0.1">
      <c r="A16" s="23">
        <f t="shared" ca="1" si="0"/>
        <v>22</v>
      </c>
      <c r="B16" s="31" cm="1">
        <f t="array" aca="1" ref="B16" ca="1">IFERROR(IF(INDEX(INDIRECT("'"&amp;$B$4&amp;"'!A:AX"),A16,$B$5 +2) &gt;0,INDEX(INDIRECT("'"&amp;$B$4&amp;"'!A:AX"),A16,$B$5 +2),""),"")</f>
        <v>0.61458333333333337</v>
      </c>
      <c r="C16" s="34">
        <v>10</v>
      </c>
      <c r="D16" s="41" t="str" cm="1">
        <f t="array" aca="1" ref="D16" ca="1">IFERROR(_xlfn.LET(_xlpm.差,A17-A16,_xlpm.対象列,$B$5 +1,_xlpm.検索範囲,INDEX(INDIRECT("'"&amp;$B$4&amp;"'!A:AX"),A16,_xlpm.対象列):
INDEX(INDIRECT("'"&amp;$B$4&amp;"'!A:AX"),A17 -1,_xlpm.対象列),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&gt;0,INDEX(_xlpm.検索範囲,_xlpm.ヒット位置),INDEX(INDIRECT("'"&amp;$B$4&amp;"'!A:AX"),A16 +1,_xlpm.対象列)),
IF(_xlpm.差 &gt; 2, INDEX(INDIRECT("'"&amp;$B$4&amp;"'!A:AX"), A16,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>茶臼山高原特別</v>
      </c>
      <c r="E16" s="19" t="str" cm="1">
        <f t="array" aca="1" ref="E16" ca="1">IFERROR(IF(A16="","",_xlfn.LET(_xlpm.target,INDEX(INDIRECT("'"&amp;$B$4&amp;"'!A:AX"),_xlfn.AGGREGATE(15,6,A17:$A$19,1) -2,$B$5+1),_xlpm.pos,SEARCH("歳",_xlpm.target),IF(ISNUMBER(SEARCH("以上",_xlpm.target,_xlpm.pos)),MID(_xlpm.target,_xlpm.pos-1,4),MID(_xlpm.target,_xlpm.pos-1,2)))),"")</f>
        <v>4歳以上</v>
      </c>
      <c r="F16" s="27" t="str" cm="1">
        <f t="array" aca="1" ref="F16" ca="1">IFERROR(IF(A16="","",_xlfn.IFS(COUNTIF(INDEX(INDIRECT("'" &amp;$B$4&amp;"'!A:AX"),_xlfn.AGGREGATE(15,6,A17:$A$19,1) -2,$B$5 +1),"*障害*"),"障害")),"")
&amp;IFERROR(IF(A16="","",_xlfn.IFS(COUNTIF(INDEX(INDIRECT("'"&amp;$B$4&amp;"'!A:AX"),_xlfn.AGGREGATE(15,6,A17:$A$19,1) -2,$B$5 +1),"*未勝利*"),"未勝利",
COUNTIF(INDEX(INDIRECT("'"&amp;$B$4&amp;"'!A:AX"),_xlfn.AGGREGATE(15,6,A17:$A$19,1) -2,$B$5 +1),"*新馬*"),"新馬",
COUNTIF(INDEX(INDIRECT("'"&amp;$B$4&amp;"'!A:AX"),_xlfn.AGGREGATE(15,6,A17:$A$19,1) -2,$B$5 +1),"*1勝クラス*"),"1勝クラス",
COUNTIF(INDEX(INDIRECT("'"&amp;$B$4&amp;"'!A:AX"),_xlfn.AGGREGATE(15,6,A17:$A$19,1) -2,$B$5 +1),"*2勝クラス*"),"2勝クラス",
COUNTIF(INDEX(INDIRECT("'"&amp;$B$4&amp;"'!A:AX"),_xlfn.AGGREGATE(15,6,A17:$A$19,1) -2,$B$5 +1),"*3勝クラス*"),"3勝クラス",
COUNTIF(INDEX(INDIRECT("'"&amp;$B$4&amp;"'!A:AX"),_xlfn.AGGREGATE(15,6,A17:$A$19,1) -2,$B$5 +1),"*オープン*"),"オープン"
)),"")</f>
        <v>2勝クラス</v>
      </c>
      <c r="G16" s="10" t="str" cm="1">
        <f t="array" aca="1" ref="G16" ca="1">IFERROR(IF(A16="","",_xlfn.IFS(
COUNTIF(INDEX(INDIRECT("'"&amp;$B$4&amp;"'!A:AX"),_xlfn.AGGREGATE(15,6,A17:$A$19,1) -2,$B$5 +1),"*障害*"),"障",
COUNTIF(INDEX(INDIRECT("'"&amp;$B$4&amp;"'!A:AX"),_xlfn.AGGREGATE(15,6,A17:$A$19,1) -1,$B$5 +1),"*芝*"),"芝",
COUNTIF(INDEX(INDIRECT("'"&amp;$B$4&amp;"'!A:AX"),_xlfn.AGGREGATE(15,6,A17:$A$19,1) -1,$B$5 +1),"*ダ*"),"ダ"
)),"")</f>
        <v>芝</v>
      </c>
      <c r="H16" s="45" t="str" cm="1">
        <f t="array" aca="1" ref="H16" ca="1">IFERROR(IF(A16="","",
_xlfn.IFS(COUNTIF(INDEX(INDIRECT("'" &amp;$B$4&amp;"'!A:AX"),_xlfn.AGGREGATE(15,6,A17:$A$19,1) -1,$B$5 +1),"*直*"),"直")),"")
&amp;IFERROR(IF(A16="","",
LEFT(INDEX(INDIRECT("'"&amp;$B$4&amp;"'!A:AX"),_xlfn.AGGREGATE(15,6,A17:$A$19,1) -1,$B$5 +1),5)&amp;"m"),"")
&amp;IFERROR(IF(A16="","",
_xlfn.IFS(AND(COUNTIF(INDEX(INDIRECT("'" &amp;$B$4&amp;"'!A:AX"),_xlfn.AGGREGATE(15,6,A17:$A$19,1) -1,$B$5 +1),"*外*"),
COUNTIF(INDEX(INDIRECT("'" &amp;$B$4&amp;"'!A:AX"),_xlfn.AGGREGATE(15,6,A17:$A$19,1) -2,$B$5 +1),"*障害*") =0),"(外)")),"")</f>
        <v>2,000m</v>
      </c>
      <c r="I16" s="14" t="str" cm="1">
        <f t="array" aca="1" ref="I16" ca="1">IFERROR(IF(A16="","",_xlfn.IFS(
    COUNTIF(INDEX(INDIRECT("'"&amp;$B$4&amp;"'!A:AX"),_xlfn.AGGREGATE(15,6,A17:$A$19,1) -1,$B$5 +1),"*牡・牝*"),"牡・牝",
    COUNTIF(INDEX(INDIRECT("'"&amp;$B$4&amp;"'!A:AX"),_xlfn.AGGREGATE(15,6,A17:$A$19,1) -1,$B$5 +1),"*牝*"),"牝"
)),"")</f>
        <v/>
      </c>
    </row>
    <row r="17" spans="1:9" x14ac:dyDescent="0.1">
      <c r="A17" s="23">
        <f t="shared" ca="1" si="0"/>
        <v>25</v>
      </c>
      <c r="B17" s="31" cm="1">
        <f t="array" aca="1" ref="B17" ca="1">IFERROR(IF(INDEX(INDIRECT("'"&amp;$B$4&amp;"'!A:AX"),A17,$B$5 +2) &gt;0,INDEX(INDIRECT("'"&amp;$B$4&amp;"'!A:AX"),A17,$B$5 +2),""),"")</f>
        <v>0.63888888888888884</v>
      </c>
      <c r="C17" s="34">
        <v>11</v>
      </c>
      <c r="D17" s="44" t="str" cm="1">
        <f t="array" aca="1" ref="D17" ca="1">IFERROR(_xlfn.LET(_xlpm.差,A18-A17,_xlpm.対象列,$B$5 +1,_xlpm.検索範囲,INDEX(INDIRECT("'"&amp;$B$4&amp;"'!A:AX"),A17,_xlpm.対象列):
INDEX(INDIRECT("'"&amp;$B$4&amp;"'!A:AX"),A18 -1,_xlpm.対象列),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&gt;0,INDEX(_xlpm.検索範囲,_xlpm.ヒット位置),INDEX(INDIRECT("'"&amp;$B$4&amp;"'!A:AX"),A17 +1,_xlpm.対象列)),
IF(_xlpm.差 &gt; 2, INDEX(INDIRECT("'"&amp;$B$4&amp;"'!A:AX"), A17,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>中京スポーツ杯</v>
      </c>
      <c r="E17" s="19" t="str" cm="1">
        <f t="array" aca="1" ref="E17" ca="1">IFERROR(IF(A17="","",_xlfn.LET(_xlpm.target,INDEX(INDIRECT("'"&amp;$B$4&amp;"'!A:AX"),_xlfn.AGGREGATE(15,6,A18:$A$19,1) -2,$B$5+1),_xlpm.pos,SEARCH("歳",_xlpm.target),IF(ISNUMBER(SEARCH("以上",_xlpm.target,_xlpm.pos)),MID(_xlpm.target,_xlpm.pos-1,4),MID(_xlpm.target,_xlpm.pos-1,2)))),"")</f>
        <v>4歳以上</v>
      </c>
      <c r="F17" s="27" t="str" cm="1">
        <f t="array" aca="1" ref="F17" ca="1">IFERROR(IF(A17="","",_xlfn.IFS(COUNTIF(INDEX(INDIRECT("'" &amp;$B$4&amp;"'!A:AX"),_xlfn.AGGREGATE(15,6,A18:$A$19,1) -2,$B$5 +1),"*障害*"),"障害")),"")
&amp;IFERROR(IF(A17="","",_xlfn.IFS(COUNTIF(INDEX(INDIRECT("'"&amp;$B$4&amp;"'!A:AX"),_xlfn.AGGREGATE(15,6,A18:$A$19,1) -2,$B$5 +1),"*未勝利*"),"未勝利",
COUNTIF(INDEX(INDIRECT("'"&amp;$B$4&amp;"'!A:AX"),_xlfn.AGGREGATE(15,6,A18:$A$19,1) -2,$B$5 +1),"*新馬*"),"新馬",
COUNTIF(INDEX(INDIRECT("'"&amp;$B$4&amp;"'!A:AX"),_xlfn.AGGREGATE(15,6,A18:$A$19,1) -2,$B$5 +1),"*1勝クラス*"),"1勝クラス",
COUNTIF(INDEX(INDIRECT("'"&amp;$B$4&amp;"'!A:AX"),_xlfn.AGGREGATE(15,6,A18:$A$19,1) -2,$B$5 +1),"*2勝クラス*"),"2勝クラス",
COUNTIF(INDEX(INDIRECT("'"&amp;$B$4&amp;"'!A:AX"),_xlfn.AGGREGATE(15,6,A18:$A$19,1) -2,$B$5 +1),"*3勝クラス*"),"3勝クラス",
COUNTIF(INDEX(INDIRECT("'"&amp;$B$4&amp;"'!A:AX"),_xlfn.AGGREGATE(15,6,A18:$A$19,1) -2,$B$5 +1),"*オープン*"),"オープン"
)),"")</f>
        <v>2勝クラス</v>
      </c>
      <c r="G17" s="10" t="str" cm="1">
        <f t="array" aca="1" ref="G17" ca="1">IFERROR(IF(A17="","",_xlfn.IFS(
COUNTIF(INDEX(INDIRECT("'"&amp;$B$4&amp;"'!A:AX"),_xlfn.AGGREGATE(15,6,A18:$A$19,1) -2,$B$5 +1),"*障害*"),"障",
COUNTIF(INDEX(INDIRECT("'"&amp;$B$4&amp;"'!A:AX"),_xlfn.AGGREGATE(15,6,A18:$A$19,1) -1,$B$5 +1),"*芝*"),"芝",
COUNTIF(INDEX(INDIRECT("'"&amp;$B$4&amp;"'!A:AX"),_xlfn.AGGREGATE(15,6,A18:$A$19,1) -1,$B$5 +1),"*ダ*"),"ダ"
)),"")</f>
        <v>ダ</v>
      </c>
      <c r="H17" s="45" t="str" cm="1">
        <f t="array" aca="1" ref="H17" ca="1">IFERROR(IF(A17="","",
_xlfn.IFS(COUNTIF(INDEX(INDIRECT("'" &amp;$B$4&amp;"'!A:AX"),_xlfn.AGGREGATE(15,6,A18:$A$19,1) -1,$B$5 +1),"*直*"),"直")),"")
&amp;IFERROR(IF(A17="","",
LEFT(INDEX(INDIRECT("'"&amp;$B$4&amp;"'!A:AX"),_xlfn.AGGREGATE(15,6,A18:$A$19,1) -1,$B$5 +1),5)&amp;"m"),"")
&amp;IFERROR(IF(A17="","",
_xlfn.IFS(AND(COUNTIF(INDEX(INDIRECT("'" &amp;$B$4&amp;"'!A:AX"),_xlfn.AGGREGATE(15,6,A18:$A$19,1) -1,$B$5 +1),"*外*"),
COUNTIF(INDEX(INDIRECT("'" &amp;$B$4&amp;"'!A:AX"),_xlfn.AGGREGATE(15,6,A18:$A$19,1) -2,$B$5 +1),"*障害*") =0),"(外)")),"")</f>
        <v>1,800m</v>
      </c>
      <c r="I17" s="14" t="str" cm="1">
        <f t="array" aca="1" ref="I17" ca="1">IFERROR(IF(A17="","",_xlfn.IFS(
    COUNTIF(INDEX(INDIRECT("'"&amp;$B$4&amp;"'!A:AX"),_xlfn.AGGREGATE(15,6,A18:$A$19,1) -1,$B$5 +1),"*牡・牝*"),"牡・牝",
    COUNTIF(INDEX(INDIRECT("'"&amp;$B$4&amp;"'!A:AX"),_xlfn.AGGREGATE(15,6,A18:$A$19,1) -1,$B$5 +1),"*牝*"),"牝"
)),"")</f>
        <v/>
      </c>
    </row>
    <row r="18" spans="1:9" ht="14.25" thickBot="1" x14ac:dyDescent="0.15">
      <c r="A18" s="37">
        <f t="shared" ca="1" si="0"/>
        <v>28</v>
      </c>
      <c r="B18" s="32" cm="1">
        <f t="array" aca="1" ref="B18" ca="1">IFERROR(IF(INDEX(INDIRECT("'"&amp;$B$4&amp;"'!A:AX"),A18,$B$5 +2) &gt;0,INDEX(INDIRECT("'"&amp;$B$4&amp;"'!A:AX"),A18,$B$5 +2),""),"")</f>
        <v>0.66666666666666663</v>
      </c>
      <c r="C18" s="35">
        <v>12</v>
      </c>
      <c r="D18" s="40" t="str" cm="1">
        <f t="array" aca="1" ref="D18" ca="1">IFERROR(_xlfn.LET(_xlpm.差,A19-A18,_xlpm.対象列,$B$5 +1,_xlpm.検索範囲,INDEX(INDIRECT("'"&amp;$B$4&amp;"'!A:AX"),A18,_xlpm.対象列):
INDEX(INDIRECT("'"&amp;$B$4&amp;"'!A:AX"),A19 -1,_xlpm.対象列),
_xlpm.G半角,IFERROR(MATCH("*G*",_xlpm.検索範囲,0),0),_xlpm.L半角,IFERROR(MATCH("*L*",_xlpm.検索範囲,0),0),
_xlpm.ヒット位置,IF(_xlpm.G半角&gt;0,_xlpm.G半角,IF(_xlpm.L半角&gt;0,_xlpm.L半角,0)),
_xlpm.抽出文字,IF(_xlpm.差 &gt;3,IF(_xlpm.ヒット位置 &gt;0,INDEX(_xlpm.検索範囲,_xlpm.ヒット位置),INDEX(INDIRECT("'"&amp;$B$4&amp;"'!A:AX"),A18 +1,_xlpm.対象列)),
IF(_xlpm.差 &gt; 2, INDEX(INDIRECT("'"&amp;$B$4&amp;"'!A:AX"), A18, _xlpm.対象列), "")),
_xlpm.第の位置, IFERROR(FIND("第", _xlpm.抽出文字), 0),_xlpm.回の位置, IFERROR(FIND("回", _xlpm.抽出文字), 0),
_xlpm.整形文字,IF(AND(_xlpm.第の位置 &gt;0,_xlpm.回の位置 &gt;0,_xlpm.第の位置 &lt; _xlpm.回の位置),
TRIM(REPLACE(_xlpm.抽出文字,_xlpm.第の位置,_xlpm.回の位置 - _xlpm.第の位置 +1,"")),_xlpm.抽出文字),_xlpm.整形文字),"")</f>
        <v/>
      </c>
      <c r="E18" s="20" t="str" cm="1">
        <f t="array" aca="1" ref="E18" ca="1">IFERROR(IF(A18="","",_xlfn.LET(_xlpm.target,INDEX(INDIRECT("'"&amp;$B$4&amp;"'!A:AX"),_xlfn.AGGREGATE(15,6,A19:$A$19,1) -2,$B$5+1),_xlpm.pos,SEARCH("歳",_xlpm.target),IF(ISNUMBER(SEARCH("以上",_xlpm.target,_xlpm.pos)),MID(_xlpm.target,_xlpm.pos-1,4),MID(_xlpm.target,_xlpm.pos-1,2)))),"")</f>
        <v>4歳以上</v>
      </c>
      <c r="F18" s="28" t="str" cm="1">
        <f t="array" aca="1" ref="F18" ca="1">IFERROR(IF(A18="","",_xlfn.IFS(COUNTIF(INDEX(INDIRECT("'" &amp;$B$4&amp;"'!A:AX"),_xlfn.AGGREGATE(15,6,A19:$A$19,1) -2,$B$5 +1),"*障害*"),"障害")),"")
&amp;IFERROR(IF(A18="","",_xlfn.IFS(COUNTIF(INDEX(INDIRECT("'"&amp;$B$4&amp;"'!A:AX"),_xlfn.AGGREGATE(15,6,A19:$A$19,1) -2,$B$5 +1),"*未勝利*"),"未勝利",
COUNTIF(INDEX(INDIRECT("'"&amp;$B$4&amp;"'!A:AX"),_xlfn.AGGREGATE(15,6,A19:$A$19,1) -2,$B$5 +1),"*新馬*"),"新馬",
COUNTIF(INDEX(INDIRECT("'"&amp;$B$4&amp;"'!A:AX"),_xlfn.AGGREGATE(15,6,A19:$A$19,1) -2,$B$5 +1),"*1勝クラス*"),"1勝クラス",
COUNTIF(INDEX(INDIRECT("'"&amp;$B$4&amp;"'!A:AX"),_xlfn.AGGREGATE(15,6,A19:$A$19,1) -2,$B$5 +1),"*2勝クラス*"),"2勝クラス",
COUNTIF(INDEX(INDIRECT("'"&amp;$B$4&amp;"'!A:AX"),_xlfn.AGGREGATE(15,6,A19:$A$19,1) -2,$B$5 +1),"*3勝クラス*"),"3勝クラス",
COUNTIF(INDEX(INDIRECT("'"&amp;$B$4&amp;"'!A:AX"),_xlfn.AGGREGATE(15,6,A19:$A$19,1) -2,$B$5 +1),"*オープン*"),"オープン"
)),"")</f>
        <v>1勝クラス</v>
      </c>
      <c r="G18" s="12" t="str" cm="1">
        <f t="array" aca="1" ref="G18" ca="1">IFERROR(IF(A18="","",_xlfn.IFS(
COUNTIF(INDEX(INDIRECT("'"&amp;$B$4&amp;"'!A:AX"),_xlfn.AGGREGATE(15,6,A19:$A$19,1) -2,$B$5 +1),"*障害*"),"障",
COUNTIF(INDEX(INDIRECT("'"&amp;$B$4&amp;"'!A:AX"),_xlfn.AGGREGATE(15,6,A19:$A$19,1) -1,$B$5 +1),"*芝*"),"芝",
COUNTIF(INDEX(INDIRECT("'"&amp;$B$4&amp;"'!A:AX"),_xlfn.AGGREGATE(15,6,A19:$A$19,1) -1,$B$5 +1),"*ダ*"),"ダ"
)),"")</f>
        <v>芝</v>
      </c>
      <c r="H18" s="46" t="str" cm="1">
        <f t="array" aca="1" ref="H18" ca="1">IFERROR(IF(A18="","",
_xlfn.IFS(COUNTIF(INDEX(INDIRECT("'" &amp;$B$4&amp;"'!A:AX"),_xlfn.AGGREGATE(15,6,A19:$A$19,1) -1,$B$5 +1),"*直*"),"直")),"")
&amp;IFERROR(IF(A18="","",
LEFT(INDEX(INDIRECT("'"&amp;$B$4&amp;"'!A:AX"),_xlfn.AGGREGATE(15,6,A19:$A$19,1) -1,$B$5 +1),5)&amp;"m"),"")
&amp;IFERROR(IF(A18="","",
_xlfn.IFS(AND(COUNTIF(INDEX(INDIRECT("'" &amp;$B$4&amp;"'!A:AX"),_xlfn.AGGREGATE(15,6,A19:$A$19,1) -1,$B$5 +1),"*外*"),
COUNTIF(INDEX(INDIRECT("'" &amp;$B$4&amp;"'!A:AX"),_xlfn.AGGREGATE(15,6,A19:$A$19,1) -2,$B$5 +1),"*障害*") =0),"(外)")),"")</f>
        <v>1,400m</v>
      </c>
      <c r="I18" s="15" t="str" cm="1">
        <f t="array" aca="1" ref="I18" ca="1">IFERROR(IF(A18="","",_xlfn.IFS(
    COUNTIF(INDEX(INDIRECT("'"&amp;$B$4&amp;"'!A:AX"),_xlfn.AGGREGATE(15,6,A19:$A$19,1) -1,$B$5 +1),"*牡・牝*"),"牡・牝",
    COUNTIF(INDEX(INDIRECT("'"&amp;$B$4&amp;"'!A:AX"),_xlfn.AGGREGATE(15,6,A19:$A$19,1) -1,$B$5 +1),"*牝*"),"牝"
)),"")</f>
        <v>牝</v>
      </c>
    </row>
    <row r="19" spans="1:9" x14ac:dyDescent="0.1">
      <c r="A19" s="36">
        <f ca="1">COUNTA(INDEX(INDIRECT("'"&amp;$B$4&amp;"'!A:AX"),0,$B$5+1))+2</f>
        <v>30</v>
      </c>
      <c r="B19" s="7"/>
    </row>
  </sheetData>
  <mergeCells count="2">
    <mergeCell ref="A1:B1"/>
    <mergeCell ref="D1:E1"/>
  </mergeCells>
  <phoneticPr fontId="1"/>
  <conditionalFormatting sqref="D7:I18">
    <cfRule type="expression" dxfId="3" priority="1">
      <formula>$G7="芝"</formula>
    </cfRule>
    <cfRule type="expression" dxfId="2" priority="2">
      <formula>$G7="ダ"</formula>
    </cfRule>
    <cfRule type="expression" dxfId="1" priority="3">
      <formula>$G7="障"</formula>
    </cfRule>
    <cfRule type="expression" dxfId="0" priority="4">
      <formula>$I7="牝"</formula>
    </cfRule>
  </conditionalFormatting>
  <dataValidations count="3">
    <dataValidation type="whole" allowBlank="1" showInputMessage="1" showErrorMessage="1" sqref="A2" xr:uid="{B9A1295E-18C6-4E45-AB35-9A505E577C17}">
      <formula1>1</formula1>
      <formula2>5</formula2>
    </dataValidation>
    <dataValidation type="whole" allowBlank="1" showInputMessage="1" showErrorMessage="1" sqref="D2" xr:uid="{DACD3A1E-8558-4D83-A2D8-8B95B40DFF5C}">
      <formula1>1</formula1>
      <formula2>13</formula2>
    </dataValidation>
    <dataValidation type="list" allowBlank="1" showInputMessage="1" showErrorMessage="1" sqref="C2" xr:uid="{4D3A0942-C827-450A-A4EA-16D57FACD0C4}">
      <formula1>"東京,中山,京都,阪神,,福島,新潟,中京,小倉,札幌,函館"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Spinner 1">
              <controlPr defaultSize="0" autoPict="0">
                <anchor moveWithCells="1" sizeWithCells="1">
                  <from>
                    <xdr:col>4</xdr:col>
                    <xdr:colOff>358140</xdr:colOff>
                    <xdr:row>0</xdr:row>
                    <xdr:rowOff>7620</xdr:rowOff>
                  </from>
                  <to>
                    <xdr:col>4</xdr:col>
                    <xdr:colOff>556260</xdr:colOff>
                    <xdr:row>1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4" name="Spinner 8">
              <controlPr defaultSize="0" autoPict="0">
                <anchor moveWithCells="1" sizeWithCells="1">
                  <from>
                    <xdr:col>1</xdr:col>
                    <xdr:colOff>655320</xdr:colOff>
                    <xdr:row>0</xdr:row>
                    <xdr:rowOff>0</xdr:rowOff>
                  </from>
                  <to>
                    <xdr:col>1</xdr:col>
                    <xdr:colOff>853440</xdr:colOff>
                    <xdr:row>1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9690-A48C-483E-81B5-21C4A08DD991}">
  <sheetPr codeName="Sheet2"/>
  <dimension ref="A1:J110"/>
  <sheetViews>
    <sheetView workbookViewId="0">
      <pane ySplit="1" topLeftCell="A2" activePane="bottomLeft" state="frozen"/>
      <selection pane="bottomLeft" activeCell="A2" sqref="A2"/>
    </sheetView>
  </sheetViews>
  <sheetFormatPr defaultRowHeight="13.5" x14ac:dyDescent="0.1"/>
  <cols>
    <col min="1" max="1" width="12.81640625" bestFit="1" customWidth="1"/>
    <col min="2" max="2" width="7.2265625" bestFit="1" customWidth="1"/>
    <col min="3" max="4" width="5.1796875" bestFit="1" customWidth="1"/>
    <col min="5" max="5" width="7.2265625" bestFit="1" customWidth="1"/>
    <col min="6" max="7" width="5.1796875" bestFit="1" customWidth="1"/>
    <col min="8" max="8" width="7.2265625" bestFit="1" customWidth="1"/>
    <col min="9" max="10" width="5.1796875" bestFit="1" customWidth="1"/>
  </cols>
  <sheetData>
    <row r="1" spans="1:10" s="2" customFormat="1" ht="14.25" thickBot="1" x14ac:dyDescent="0.15">
      <c r="A1" s="49" t="s">
        <v>1</v>
      </c>
      <c r="B1" s="3" t="s">
        <v>2</v>
      </c>
      <c r="C1" s="4" t="s">
        <v>3</v>
      </c>
      <c r="D1" s="5" t="s">
        <v>4</v>
      </c>
      <c r="E1" s="3" t="s">
        <v>5</v>
      </c>
      <c r="F1" s="4" t="s">
        <v>6</v>
      </c>
      <c r="G1" s="5" t="s">
        <v>7</v>
      </c>
      <c r="H1" s="17" t="s">
        <v>8</v>
      </c>
      <c r="I1" s="4" t="s">
        <v>9</v>
      </c>
      <c r="J1" s="5" t="s">
        <v>10</v>
      </c>
    </row>
    <row r="2" spans="1:10" s="48" customFormat="1" x14ac:dyDescent="0.1">
      <c r="A2" s="94">
        <v>46026</v>
      </c>
      <c r="B2" s="51">
        <v>1</v>
      </c>
      <c r="C2" s="52" t="s">
        <v>0</v>
      </c>
      <c r="D2" s="56">
        <v>1</v>
      </c>
      <c r="E2" s="51">
        <v>1</v>
      </c>
      <c r="F2" s="52" t="s">
        <v>14</v>
      </c>
      <c r="G2" s="58">
        <v>1</v>
      </c>
    </row>
    <row r="3" spans="1:10" s="48" customFormat="1" ht="14.25" thickBot="1" x14ac:dyDescent="0.15">
      <c r="A3" s="95">
        <v>46027</v>
      </c>
      <c r="B3" s="53">
        <v>1</v>
      </c>
      <c r="C3" s="50" t="s">
        <v>0</v>
      </c>
      <c r="D3" s="57">
        <v>2</v>
      </c>
      <c r="E3" s="53">
        <v>1</v>
      </c>
      <c r="F3" s="50" t="s">
        <v>14</v>
      </c>
      <c r="G3" s="54">
        <v>2</v>
      </c>
    </row>
    <row r="4" spans="1:10" s="48" customFormat="1" ht="14.25" thickBot="1" x14ac:dyDescent="0.15">
      <c r="A4" s="95">
        <v>46032</v>
      </c>
      <c r="B4" s="53">
        <v>1</v>
      </c>
      <c r="C4" s="50" t="s">
        <v>0</v>
      </c>
      <c r="D4" s="57">
        <v>3</v>
      </c>
      <c r="E4" s="53">
        <v>1</v>
      </c>
      <c r="F4" s="50" t="s">
        <v>14</v>
      </c>
      <c r="G4" s="54">
        <v>3</v>
      </c>
    </row>
    <row r="5" spans="1:10" s="48" customFormat="1" ht="14.25" thickBot="1" x14ac:dyDescent="0.15">
      <c r="A5" s="95">
        <v>46033</v>
      </c>
      <c r="B5" s="53">
        <v>1</v>
      </c>
      <c r="C5" s="50" t="s">
        <v>0</v>
      </c>
      <c r="D5" s="57">
        <v>4</v>
      </c>
      <c r="E5" s="53">
        <v>1</v>
      </c>
      <c r="F5" s="50" t="s">
        <v>14</v>
      </c>
      <c r="G5" s="54">
        <v>4</v>
      </c>
    </row>
    <row r="6" spans="1:10" s="48" customFormat="1" ht="14.25" thickBot="1" x14ac:dyDescent="0.15">
      <c r="A6" s="95">
        <v>46034</v>
      </c>
      <c r="B6" s="53">
        <v>1</v>
      </c>
      <c r="C6" s="50" t="s">
        <v>0</v>
      </c>
      <c r="D6" s="57">
        <v>5</v>
      </c>
      <c r="E6" s="53">
        <v>1</v>
      </c>
      <c r="F6" s="50" t="s">
        <v>14</v>
      </c>
      <c r="G6" s="54">
        <v>5</v>
      </c>
    </row>
    <row r="7" spans="1:10" s="48" customFormat="1" ht="14.25" thickBot="1" x14ac:dyDescent="0.15">
      <c r="A7" s="95">
        <v>46039</v>
      </c>
      <c r="B7" s="53">
        <v>1</v>
      </c>
      <c r="C7" s="50" t="s">
        <v>0</v>
      </c>
      <c r="D7" s="57">
        <v>6</v>
      </c>
      <c r="E7" s="53">
        <v>1</v>
      </c>
      <c r="F7" s="50" t="s">
        <v>14</v>
      </c>
      <c r="G7" s="54">
        <v>6</v>
      </c>
    </row>
    <row r="8" spans="1:10" s="48" customFormat="1" ht="14.25" thickBot="1" x14ac:dyDescent="0.15">
      <c r="A8" s="95">
        <v>46040</v>
      </c>
      <c r="B8" s="53">
        <v>1</v>
      </c>
      <c r="C8" s="50" t="s">
        <v>0</v>
      </c>
      <c r="D8" s="57">
        <v>7</v>
      </c>
      <c r="E8" s="53">
        <v>1</v>
      </c>
      <c r="F8" s="50" t="s">
        <v>14</v>
      </c>
      <c r="G8" s="54">
        <v>7</v>
      </c>
    </row>
    <row r="9" spans="1:10" s="48" customFormat="1" ht="14.25" thickBot="1" x14ac:dyDescent="0.15">
      <c r="A9" s="95">
        <v>46046</v>
      </c>
      <c r="B9" s="53">
        <v>1</v>
      </c>
      <c r="C9" s="50" t="s">
        <v>0</v>
      </c>
      <c r="D9" s="57">
        <v>8</v>
      </c>
      <c r="E9" s="53">
        <v>1</v>
      </c>
      <c r="F9" s="50" t="s">
        <v>14</v>
      </c>
      <c r="G9" s="57">
        <v>8</v>
      </c>
      <c r="H9" s="51">
        <v>1</v>
      </c>
      <c r="I9" s="52" t="s">
        <v>17</v>
      </c>
      <c r="J9" s="58">
        <v>1</v>
      </c>
    </row>
    <row r="10" spans="1:10" s="48" customFormat="1" ht="14.25" thickBot="1" x14ac:dyDescent="0.15">
      <c r="A10" s="96">
        <v>46047</v>
      </c>
      <c r="B10" s="60">
        <v>1</v>
      </c>
      <c r="C10" s="61" t="s">
        <v>0</v>
      </c>
      <c r="D10" s="65">
        <v>9</v>
      </c>
      <c r="E10" s="60">
        <v>1</v>
      </c>
      <c r="F10" s="61" t="s">
        <v>14</v>
      </c>
      <c r="G10" s="65">
        <v>9</v>
      </c>
      <c r="H10" s="53">
        <v>1</v>
      </c>
      <c r="I10" s="50" t="s">
        <v>17</v>
      </c>
      <c r="J10" s="54">
        <v>2</v>
      </c>
    </row>
    <row r="11" spans="1:10" s="48" customFormat="1" x14ac:dyDescent="0.1">
      <c r="A11" s="97">
        <v>46053</v>
      </c>
      <c r="B11" s="62">
        <v>1</v>
      </c>
      <c r="C11" s="52" t="s">
        <v>13</v>
      </c>
      <c r="D11" s="58">
        <v>1</v>
      </c>
      <c r="E11" s="62">
        <v>2</v>
      </c>
      <c r="F11" s="52" t="s">
        <v>14</v>
      </c>
      <c r="G11" s="56">
        <v>1</v>
      </c>
      <c r="H11" s="53">
        <v>1</v>
      </c>
      <c r="I11" s="50" t="s">
        <v>17</v>
      </c>
      <c r="J11" s="54">
        <v>3</v>
      </c>
    </row>
    <row r="12" spans="1:10" s="48" customFormat="1" ht="14.25" thickBot="1" x14ac:dyDescent="0.15">
      <c r="A12" s="98">
        <v>46054</v>
      </c>
      <c r="B12" s="63">
        <v>1</v>
      </c>
      <c r="C12" s="50" t="s">
        <v>13</v>
      </c>
      <c r="D12" s="54">
        <v>2</v>
      </c>
      <c r="E12" s="63">
        <v>2</v>
      </c>
      <c r="F12" s="50" t="s">
        <v>14</v>
      </c>
      <c r="G12" s="57">
        <v>2</v>
      </c>
      <c r="H12" s="53">
        <v>1</v>
      </c>
      <c r="I12" s="50" t="s">
        <v>17</v>
      </c>
      <c r="J12" s="54">
        <v>4</v>
      </c>
    </row>
    <row r="13" spans="1:10" s="48" customFormat="1" x14ac:dyDescent="0.1">
      <c r="A13" s="98">
        <v>46060</v>
      </c>
      <c r="B13" s="63">
        <v>1</v>
      </c>
      <c r="C13" s="50" t="s">
        <v>13</v>
      </c>
      <c r="D13" s="54">
        <v>3</v>
      </c>
      <c r="E13" s="63">
        <v>2</v>
      </c>
      <c r="F13" s="50" t="s">
        <v>14</v>
      </c>
      <c r="G13" s="57">
        <v>3</v>
      </c>
      <c r="H13" s="53">
        <v>1</v>
      </c>
      <c r="I13" s="50" t="s">
        <v>17</v>
      </c>
      <c r="J13" s="54">
        <v>5</v>
      </c>
    </row>
    <row r="14" spans="1:10" s="48" customFormat="1" x14ac:dyDescent="0.1">
      <c r="A14" s="98">
        <v>46061</v>
      </c>
      <c r="B14" s="63"/>
      <c r="C14" s="50"/>
      <c r="D14" s="54"/>
      <c r="E14" s="63"/>
      <c r="F14" s="50"/>
      <c r="G14" s="57"/>
      <c r="H14" s="53">
        <v>1</v>
      </c>
      <c r="I14" s="50" t="s">
        <v>17</v>
      </c>
      <c r="J14" s="54">
        <v>6</v>
      </c>
    </row>
    <row r="15" spans="1:10" s="48" customFormat="1" x14ac:dyDescent="0.1">
      <c r="A15" s="98">
        <v>46063</v>
      </c>
      <c r="B15" s="63">
        <v>1</v>
      </c>
      <c r="C15" s="50" t="s">
        <v>13</v>
      </c>
      <c r="D15" s="54">
        <v>4</v>
      </c>
      <c r="E15" s="63">
        <v>2</v>
      </c>
      <c r="F15" s="50" t="s">
        <v>14</v>
      </c>
      <c r="G15" s="57">
        <v>4</v>
      </c>
      <c r="H15" s="53"/>
      <c r="I15" s="50"/>
      <c r="J15" s="54"/>
    </row>
    <row r="16" spans="1:10" s="48" customFormat="1" ht="14.25" thickBot="1" x14ac:dyDescent="0.15">
      <c r="A16" s="98">
        <v>46067</v>
      </c>
      <c r="B16" s="63">
        <v>1</v>
      </c>
      <c r="C16" s="50" t="s">
        <v>13</v>
      </c>
      <c r="D16" s="54">
        <v>5</v>
      </c>
      <c r="E16" s="63">
        <v>2</v>
      </c>
      <c r="F16" s="50" t="s">
        <v>14</v>
      </c>
      <c r="G16" s="57">
        <v>5</v>
      </c>
      <c r="H16" s="53">
        <v>1</v>
      </c>
      <c r="I16" s="50" t="s">
        <v>17</v>
      </c>
      <c r="J16" s="54">
        <v>7</v>
      </c>
    </row>
    <row r="17" spans="1:10" s="48" customFormat="1" ht="14.25" thickBot="1" x14ac:dyDescent="0.15">
      <c r="A17" s="98">
        <v>46068</v>
      </c>
      <c r="B17" s="63">
        <v>1</v>
      </c>
      <c r="C17" s="50" t="s">
        <v>13</v>
      </c>
      <c r="D17" s="54">
        <v>6</v>
      </c>
      <c r="E17" s="66">
        <v>2</v>
      </c>
      <c r="F17" s="61" t="s">
        <v>14</v>
      </c>
      <c r="G17" s="65">
        <v>6</v>
      </c>
      <c r="H17" s="53">
        <v>1</v>
      </c>
      <c r="I17" s="50" t="s">
        <v>17</v>
      </c>
      <c r="J17" s="54">
        <v>8</v>
      </c>
    </row>
    <row r="18" spans="1:10" s="48" customFormat="1" ht="14.25" thickBot="1" x14ac:dyDescent="0.15">
      <c r="A18" s="98">
        <v>46074</v>
      </c>
      <c r="B18" s="63">
        <v>1</v>
      </c>
      <c r="C18" s="50" t="s">
        <v>13</v>
      </c>
      <c r="D18" s="57">
        <v>7</v>
      </c>
      <c r="E18" s="51">
        <v>1</v>
      </c>
      <c r="F18" s="52" t="s">
        <v>11</v>
      </c>
      <c r="G18" s="58">
        <v>1</v>
      </c>
      <c r="H18" s="63">
        <v>1</v>
      </c>
      <c r="I18" s="50" t="s">
        <v>17</v>
      </c>
      <c r="J18" s="54">
        <v>9</v>
      </c>
    </row>
    <row r="19" spans="1:10" s="48" customFormat="1" ht="14.25" thickBot="1" x14ac:dyDescent="0.15">
      <c r="A19" s="99">
        <v>46075</v>
      </c>
      <c r="B19" s="66">
        <v>1</v>
      </c>
      <c r="C19" s="61" t="s">
        <v>13</v>
      </c>
      <c r="D19" s="65">
        <v>8</v>
      </c>
      <c r="E19" s="53">
        <v>1</v>
      </c>
      <c r="F19" s="50" t="s">
        <v>11</v>
      </c>
      <c r="G19" s="54">
        <v>2</v>
      </c>
      <c r="H19" s="63">
        <v>1</v>
      </c>
      <c r="I19" s="50" t="s">
        <v>17</v>
      </c>
      <c r="J19" s="54">
        <v>10</v>
      </c>
    </row>
    <row r="20" spans="1:10" s="48" customFormat="1" x14ac:dyDescent="0.1">
      <c r="A20" s="97">
        <v>46081</v>
      </c>
      <c r="B20" s="62">
        <v>2</v>
      </c>
      <c r="C20" s="52" t="s">
        <v>0</v>
      </c>
      <c r="D20" s="56">
        <v>1</v>
      </c>
      <c r="E20" s="53">
        <v>1</v>
      </c>
      <c r="F20" s="50" t="s">
        <v>11</v>
      </c>
      <c r="G20" s="54">
        <v>3</v>
      </c>
      <c r="H20" s="63">
        <v>1</v>
      </c>
      <c r="I20" s="50" t="s">
        <v>17</v>
      </c>
      <c r="J20" s="54">
        <v>11</v>
      </c>
    </row>
    <row r="21" spans="1:10" s="48" customFormat="1" ht="14.25" thickBot="1" x14ac:dyDescent="0.15">
      <c r="A21" s="98">
        <v>46082</v>
      </c>
      <c r="B21" s="63">
        <v>2</v>
      </c>
      <c r="C21" s="50" t="s">
        <v>0</v>
      </c>
      <c r="D21" s="57">
        <v>2</v>
      </c>
      <c r="E21" s="53">
        <v>1</v>
      </c>
      <c r="F21" s="50" t="s">
        <v>11</v>
      </c>
      <c r="G21" s="54">
        <v>4</v>
      </c>
      <c r="H21" s="64">
        <v>1</v>
      </c>
      <c r="I21" s="55" t="s">
        <v>17</v>
      </c>
      <c r="J21" s="59">
        <v>12</v>
      </c>
    </row>
    <row r="22" spans="1:10" s="48" customFormat="1" ht="14.25" thickBot="1" x14ac:dyDescent="0.15">
      <c r="A22" s="98">
        <v>46088</v>
      </c>
      <c r="B22" s="63">
        <v>2</v>
      </c>
      <c r="C22" s="50" t="s">
        <v>0</v>
      </c>
      <c r="D22" s="57">
        <v>3</v>
      </c>
      <c r="E22" s="53">
        <v>1</v>
      </c>
      <c r="F22" s="50" t="s">
        <v>11</v>
      </c>
      <c r="G22" s="54">
        <v>5</v>
      </c>
    </row>
    <row r="23" spans="1:10" s="48" customFormat="1" ht="14.25" thickBot="1" x14ac:dyDescent="0.15">
      <c r="A23" s="98">
        <v>46089</v>
      </c>
      <c r="B23" s="63">
        <v>2</v>
      </c>
      <c r="C23" s="50" t="s">
        <v>0</v>
      </c>
      <c r="D23" s="57">
        <v>4</v>
      </c>
      <c r="E23" s="53">
        <v>1</v>
      </c>
      <c r="F23" s="50" t="s">
        <v>11</v>
      </c>
      <c r="G23" s="54">
        <v>6</v>
      </c>
    </row>
    <row r="24" spans="1:10" s="48" customFormat="1" ht="14.25" thickBot="1" x14ac:dyDescent="0.15">
      <c r="A24" s="98">
        <v>46095</v>
      </c>
      <c r="B24" s="63">
        <v>2</v>
      </c>
      <c r="C24" s="50" t="s">
        <v>0</v>
      </c>
      <c r="D24" s="57">
        <v>5</v>
      </c>
      <c r="E24" s="53">
        <v>1</v>
      </c>
      <c r="F24" s="50" t="s">
        <v>11</v>
      </c>
      <c r="G24" s="57">
        <v>7</v>
      </c>
      <c r="H24" s="51">
        <v>1</v>
      </c>
      <c r="I24" s="52" t="s">
        <v>18</v>
      </c>
      <c r="J24" s="58">
        <v>1</v>
      </c>
    </row>
    <row r="25" spans="1:10" s="48" customFormat="1" ht="14.25" thickBot="1" x14ac:dyDescent="0.15">
      <c r="A25" s="98">
        <v>46096</v>
      </c>
      <c r="B25" s="63">
        <v>2</v>
      </c>
      <c r="C25" s="50" t="s">
        <v>0</v>
      </c>
      <c r="D25" s="57">
        <v>6</v>
      </c>
      <c r="E25" s="53">
        <v>1</v>
      </c>
      <c r="F25" s="50" t="s">
        <v>11</v>
      </c>
      <c r="G25" s="57">
        <v>8</v>
      </c>
      <c r="H25" s="53">
        <v>1</v>
      </c>
      <c r="I25" s="50" t="s">
        <v>18</v>
      </c>
      <c r="J25" s="54">
        <v>2</v>
      </c>
    </row>
    <row r="26" spans="1:10" s="48" customFormat="1" ht="14.25" thickBot="1" x14ac:dyDescent="0.15">
      <c r="A26" s="98">
        <v>46102</v>
      </c>
      <c r="B26" s="63">
        <v>2</v>
      </c>
      <c r="C26" s="50" t="s">
        <v>0</v>
      </c>
      <c r="D26" s="57">
        <v>7</v>
      </c>
      <c r="E26" s="53">
        <v>1</v>
      </c>
      <c r="F26" s="50" t="s">
        <v>11</v>
      </c>
      <c r="G26" s="57">
        <v>9</v>
      </c>
      <c r="H26" s="53">
        <v>1</v>
      </c>
      <c r="I26" s="50" t="s">
        <v>18</v>
      </c>
      <c r="J26" s="54">
        <v>3</v>
      </c>
    </row>
    <row r="27" spans="1:10" s="48" customFormat="1" ht="14.25" thickBot="1" x14ac:dyDescent="0.15">
      <c r="A27" s="99">
        <v>46103</v>
      </c>
      <c r="B27" s="66">
        <v>2</v>
      </c>
      <c r="C27" s="61" t="s">
        <v>0</v>
      </c>
      <c r="D27" s="65">
        <v>8</v>
      </c>
      <c r="E27" s="60">
        <v>1</v>
      </c>
      <c r="F27" s="61" t="s">
        <v>11</v>
      </c>
      <c r="G27" s="65">
        <v>10</v>
      </c>
      <c r="H27" s="53">
        <v>1</v>
      </c>
      <c r="I27" s="50" t="s">
        <v>18</v>
      </c>
      <c r="J27" s="54">
        <v>4</v>
      </c>
    </row>
    <row r="28" spans="1:10" s="48" customFormat="1" ht="14.25" thickBot="1" x14ac:dyDescent="0.15">
      <c r="A28" s="97">
        <v>46109</v>
      </c>
      <c r="B28" s="62">
        <v>3</v>
      </c>
      <c r="C28" s="52" t="s">
        <v>0</v>
      </c>
      <c r="D28" s="56">
        <v>1</v>
      </c>
      <c r="E28" s="51">
        <v>2</v>
      </c>
      <c r="F28" s="52" t="s">
        <v>11</v>
      </c>
      <c r="G28" s="58">
        <v>1</v>
      </c>
      <c r="H28" s="63">
        <v>1</v>
      </c>
      <c r="I28" s="50" t="s">
        <v>18</v>
      </c>
      <c r="J28" s="54">
        <v>5</v>
      </c>
    </row>
    <row r="29" spans="1:10" s="48" customFormat="1" ht="14.25" thickBot="1" x14ac:dyDescent="0.15">
      <c r="A29" s="98">
        <v>46110</v>
      </c>
      <c r="B29" s="63">
        <v>3</v>
      </c>
      <c r="C29" s="50" t="s">
        <v>0</v>
      </c>
      <c r="D29" s="57">
        <v>2</v>
      </c>
      <c r="E29" s="53">
        <v>2</v>
      </c>
      <c r="F29" s="50" t="s">
        <v>11</v>
      </c>
      <c r="G29" s="54">
        <v>2</v>
      </c>
      <c r="H29" s="64">
        <v>1</v>
      </c>
      <c r="I29" s="55" t="s">
        <v>18</v>
      </c>
      <c r="J29" s="59">
        <v>6</v>
      </c>
    </row>
    <row r="30" spans="1:10" s="48" customFormat="1" ht="14.25" thickBot="1" x14ac:dyDescent="0.15">
      <c r="A30" s="98">
        <v>46116</v>
      </c>
      <c r="B30" s="63">
        <v>3</v>
      </c>
      <c r="C30" s="50" t="s">
        <v>0</v>
      </c>
      <c r="D30" s="57">
        <v>3</v>
      </c>
      <c r="E30" s="53">
        <v>2</v>
      </c>
      <c r="F30" s="50" t="s">
        <v>11</v>
      </c>
      <c r="G30" s="54">
        <v>3</v>
      </c>
    </row>
    <row r="31" spans="1:10" s="48" customFormat="1" ht="14.25" thickBot="1" x14ac:dyDescent="0.15">
      <c r="A31" s="98">
        <v>46117</v>
      </c>
      <c r="B31" s="63">
        <v>3</v>
      </c>
      <c r="C31" s="50" t="s">
        <v>0</v>
      </c>
      <c r="D31" s="57">
        <v>4</v>
      </c>
      <c r="E31" s="53">
        <v>2</v>
      </c>
      <c r="F31" s="50" t="s">
        <v>11</v>
      </c>
      <c r="G31" s="54">
        <v>4</v>
      </c>
    </row>
    <row r="32" spans="1:10" ht="14.25" thickBot="1" x14ac:dyDescent="0.15">
      <c r="A32" s="100">
        <v>46123</v>
      </c>
      <c r="B32" s="19">
        <v>3</v>
      </c>
      <c r="C32" s="45" t="s">
        <v>0</v>
      </c>
      <c r="D32" s="27">
        <v>5</v>
      </c>
      <c r="E32" s="10">
        <v>2</v>
      </c>
      <c r="F32" s="45" t="s">
        <v>11</v>
      </c>
      <c r="G32" s="27">
        <v>5</v>
      </c>
      <c r="H32" s="8">
        <v>1</v>
      </c>
      <c r="I32" s="67" t="s">
        <v>12</v>
      </c>
      <c r="J32" s="68">
        <v>1</v>
      </c>
    </row>
    <row r="33" spans="1:10" ht="14.25" thickBot="1" x14ac:dyDescent="0.15">
      <c r="A33" s="100">
        <v>46124</v>
      </c>
      <c r="B33" s="19">
        <v>3</v>
      </c>
      <c r="C33" s="45" t="s">
        <v>0</v>
      </c>
      <c r="D33" s="27">
        <v>6</v>
      </c>
      <c r="E33" s="10">
        <v>2</v>
      </c>
      <c r="F33" s="45" t="s">
        <v>11</v>
      </c>
      <c r="G33" s="27">
        <v>6</v>
      </c>
      <c r="H33" s="10">
        <v>1</v>
      </c>
      <c r="I33" s="45" t="s">
        <v>12</v>
      </c>
      <c r="J33" s="14">
        <v>2</v>
      </c>
    </row>
    <row r="34" spans="1:10" ht="14.25" thickBot="1" x14ac:dyDescent="0.15">
      <c r="A34" s="100">
        <v>46130</v>
      </c>
      <c r="B34" s="19">
        <v>3</v>
      </c>
      <c r="C34" s="45" t="s">
        <v>0</v>
      </c>
      <c r="D34" s="27">
        <v>7</v>
      </c>
      <c r="E34" s="10">
        <v>2</v>
      </c>
      <c r="F34" s="45" t="s">
        <v>11</v>
      </c>
      <c r="G34" s="27">
        <v>7</v>
      </c>
      <c r="H34" s="10">
        <v>1</v>
      </c>
      <c r="I34" s="45" t="s">
        <v>12</v>
      </c>
      <c r="J34" s="14">
        <v>3</v>
      </c>
    </row>
    <row r="35" spans="1:10" ht="14.25" thickBot="1" x14ac:dyDescent="0.15">
      <c r="A35" s="101">
        <v>46131</v>
      </c>
      <c r="B35" s="69">
        <v>3</v>
      </c>
      <c r="C35" s="70" t="s">
        <v>0</v>
      </c>
      <c r="D35" s="71">
        <v>8</v>
      </c>
      <c r="E35" s="74">
        <v>2</v>
      </c>
      <c r="F35" s="70" t="s">
        <v>11</v>
      </c>
      <c r="G35" s="71">
        <v>8</v>
      </c>
      <c r="H35" s="10">
        <v>1</v>
      </c>
      <c r="I35" s="45" t="s">
        <v>12</v>
      </c>
      <c r="J35" s="14">
        <v>4</v>
      </c>
    </row>
    <row r="36" spans="1:10" x14ac:dyDescent="0.1">
      <c r="A36" s="102">
        <v>46137</v>
      </c>
      <c r="B36" s="72">
        <v>2</v>
      </c>
      <c r="C36" s="67" t="s">
        <v>13</v>
      </c>
      <c r="D36" s="73">
        <v>1</v>
      </c>
      <c r="E36" s="8">
        <v>3</v>
      </c>
      <c r="F36" s="67" t="s">
        <v>14</v>
      </c>
      <c r="G36" s="68">
        <v>1</v>
      </c>
      <c r="H36" s="19">
        <v>1</v>
      </c>
      <c r="I36" s="45" t="s">
        <v>12</v>
      </c>
      <c r="J36" s="14">
        <v>5</v>
      </c>
    </row>
    <row r="37" spans="1:10" ht="14.25" thickBot="1" x14ac:dyDescent="0.15">
      <c r="A37" s="100">
        <v>46138</v>
      </c>
      <c r="B37" s="19">
        <v>2</v>
      </c>
      <c r="C37" s="45" t="s">
        <v>13</v>
      </c>
      <c r="D37" s="27">
        <v>2</v>
      </c>
      <c r="E37" s="10">
        <v>3</v>
      </c>
      <c r="F37" s="45" t="s">
        <v>14</v>
      </c>
      <c r="G37" s="14">
        <v>2</v>
      </c>
      <c r="H37" s="69">
        <v>1</v>
      </c>
      <c r="I37" s="70" t="s">
        <v>12</v>
      </c>
      <c r="J37" s="75">
        <v>6</v>
      </c>
    </row>
    <row r="38" spans="1:10" ht="14.25" thickBot="1" x14ac:dyDescent="0.15">
      <c r="A38" s="100">
        <v>46144</v>
      </c>
      <c r="B38" s="19">
        <v>2</v>
      </c>
      <c r="C38" s="45" t="s">
        <v>13</v>
      </c>
      <c r="D38" s="27">
        <v>3</v>
      </c>
      <c r="E38" s="10">
        <v>3</v>
      </c>
      <c r="F38" s="45" t="s">
        <v>14</v>
      </c>
      <c r="G38" s="27">
        <v>3</v>
      </c>
      <c r="H38" s="8">
        <v>1</v>
      </c>
      <c r="I38" s="67" t="s">
        <v>15</v>
      </c>
      <c r="J38" s="68">
        <v>1</v>
      </c>
    </row>
    <row r="39" spans="1:10" ht="14.25" thickBot="1" x14ac:dyDescent="0.15">
      <c r="A39" s="100">
        <v>46145</v>
      </c>
      <c r="B39" s="19">
        <v>2</v>
      </c>
      <c r="C39" s="45" t="s">
        <v>13</v>
      </c>
      <c r="D39" s="27">
        <v>4</v>
      </c>
      <c r="E39" s="10">
        <v>3</v>
      </c>
      <c r="F39" s="45" t="s">
        <v>14</v>
      </c>
      <c r="G39" s="27">
        <v>4</v>
      </c>
      <c r="H39" s="10">
        <v>1</v>
      </c>
      <c r="I39" s="45" t="s">
        <v>15</v>
      </c>
      <c r="J39" s="14">
        <v>2</v>
      </c>
    </row>
    <row r="40" spans="1:10" ht="14.25" thickBot="1" x14ac:dyDescent="0.15">
      <c r="A40" s="100">
        <v>46151</v>
      </c>
      <c r="B40" s="19">
        <v>2</v>
      </c>
      <c r="C40" s="45" t="s">
        <v>13</v>
      </c>
      <c r="D40" s="27">
        <v>5</v>
      </c>
      <c r="E40" s="10">
        <v>3</v>
      </c>
      <c r="F40" s="45" t="s">
        <v>14</v>
      </c>
      <c r="G40" s="27">
        <v>5</v>
      </c>
      <c r="H40" s="10">
        <v>1</v>
      </c>
      <c r="I40" s="45" t="s">
        <v>15</v>
      </c>
      <c r="J40" s="14">
        <v>3</v>
      </c>
    </row>
    <row r="41" spans="1:10" ht="14.25" thickBot="1" x14ac:dyDescent="0.15">
      <c r="A41" s="100">
        <v>46152</v>
      </c>
      <c r="B41" s="19">
        <v>2</v>
      </c>
      <c r="C41" s="45" t="s">
        <v>13</v>
      </c>
      <c r="D41" s="27">
        <v>6</v>
      </c>
      <c r="E41" s="10">
        <v>3</v>
      </c>
      <c r="F41" s="45" t="s">
        <v>14</v>
      </c>
      <c r="G41" s="27">
        <v>6</v>
      </c>
      <c r="H41" s="10">
        <v>1</v>
      </c>
      <c r="I41" s="45" t="s">
        <v>15</v>
      </c>
      <c r="J41" s="14">
        <v>4</v>
      </c>
    </row>
    <row r="42" spans="1:10" ht="14.25" thickBot="1" x14ac:dyDescent="0.15">
      <c r="A42" s="100">
        <v>46158</v>
      </c>
      <c r="B42" s="19">
        <v>2</v>
      </c>
      <c r="C42" s="45" t="s">
        <v>13</v>
      </c>
      <c r="D42" s="27">
        <v>7</v>
      </c>
      <c r="E42" s="10">
        <v>3</v>
      </c>
      <c r="F42" s="45" t="s">
        <v>14</v>
      </c>
      <c r="G42" s="27">
        <v>7</v>
      </c>
      <c r="H42" s="10">
        <v>1</v>
      </c>
      <c r="I42" s="45" t="s">
        <v>15</v>
      </c>
      <c r="J42" s="14">
        <v>5</v>
      </c>
    </row>
    <row r="43" spans="1:10" ht="14.25" thickBot="1" x14ac:dyDescent="0.15">
      <c r="A43" s="100">
        <v>46159</v>
      </c>
      <c r="B43" s="19">
        <v>2</v>
      </c>
      <c r="C43" s="45" t="s">
        <v>13</v>
      </c>
      <c r="D43" s="27">
        <v>8</v>
      </c>
      <c r="E43" s="10">
        <v>3</v>
      </c>
      <c r="F43" s="45" t="s">
        <v>14</v>
      </c>
      <c r="G43" s="27">
        <v>8</v>
      </c>
      <c r="H43" s="10">
        <v>1</v>
      </c>
      <c r="I43" s="45" t="s">
        <v>15</v>
      </c>
      <c r="J43" s="14">
        <v>6</v>
      </c>
    </row>
    <row r="44" spans="1:10" ht="14.25" thickBot="1" x14ac:dyDescent="0.15">
      <c r="A44" s="100">
        <v>46165</v>
      </c>
      <c r="B44" s="19">
        <v>2</v>
      </c>
      <c r="C44" s="45" t="s">
        <v>13</v>
      </c>
      <c r="D44" s="27">
        <v>9</v>
      </c>
      <c r="E44" s="10">
        <v>3</v>
      </c>
      <c r="F44" s="45" t="s">
        <v>14</v>
      </c>
      <c r="G44" s="27">
        <v>9</v>
      </c>
      <c r="H44" s="10">
        <v>1</v>
      </c>
      <c r="I44" s="45" t="s">
        <v>15</v>
      </c>
      <c r="J44" s="14">
        <v>7</v>
      </c>
    </row>
    <row r="45" spans="1:10" ht="14.25" thickBot="1" x14ac:dyDescent="0.15">
      <c r="A45" s="100">
        <v>46166</v>
      </c>
      <c r="B45" s="19">
        <v>2</v>
      </c>
      <c r="C45" s="45" t="s">
        <v>13</v>
      </c>
      <c r="D45" s="27">
        <v>10</v>
      </c>
      <c r="E45" s="10">
        <v>3</v>
      </c>
      <c r="F45" s="45" t="s">
        <v>14</v>
      </c>
      <c r="G45" s="27">
        <v>10</v>
      </c>
      <c r="H45" s="12">
        <v>1</v>
      </c>
      <c r="I45" s="46" t="s">
        <v>15</v>
      </c>
      <c r="J45" s="15">
        <v>8</v>
      </c>
    </row>
    <row r="46" spans="1:10" ht="14.25" thickBot="1" x14ac:dyDescent="0.15">
      <c r="A46" s="100">
        <v>46172</v>
      </c>
      <c r="B46" s="19">
        <v>2</v>
      </c>
      <c r="C46" s="45" t="s">
        <v>13</v>
      </c>
      <c r="D46" s="27">
        <v>11</v>
      </c>
      <c r="E46" s="10">
        <v>3</v>
      </c>
      <c r="F46" s="45" t="s">
        <v>14</v>
      </c>
      <c r="G46" s="14">
        <v>11</v>
      </c>
    </row>
    <row r="47" spans="1:10" ht="14.25" thickBot="1" x14ac:dyDescent="0.15">
      <c r="A47" s="101">
        <v>46173</v>
      </c>
      <c r="B47" s="69">
        <v>2</v>
      </c>
      <c r="C47" s="70" t="s">
        <v>13</v>
      </c>
      <c r="D47" s="71">
        <v>12</v>
      </c>
      <c r="E47" s="74">
        <v>3</v>
      </c>
      <c r="F47" s="70" t="s">
        <v>14</v>
      </c>
      <c r="G47" s="75">
        <v>12</v>
      </c>
    </row>
    <row r="48" spans="1:10" ht="14.25" thickBot="1" x14ac:dyDescent="0.15">
      <c r="A48" s="102">
        <v>46179</v>
      </c>
      <c r="B48" s="72">
        <v>3</v>
      </c>
      <c r="C48" s="67" t="s">
        <v>13</v>
      </c>
      <c r="D48" s="73">
        <v>1</v>
      </c>
      <c r="E48" s="8">
        <v>3</v>
      </c>
      <c r="F48" s="67" t="s">
        <v>11</v>
      </c>
      <c r="G48" s="68">
        <v>1</v>
      </c>
    </row>
    <row r="49" spans="1:10" ht="14.25" thickBot="1" x14ac:dyDescent="0.15">
      <c r="A49" s="100">
        <v>46180</v>
      </c>
      <c r="B49" s="19">
        <v>3</v>
      </c>
      <c r="C49" s="45" t="s">
        <v>13</v>
      </c>
      <c r="D49" s="27">
        <v>2</v>
      </c>
      <c r="E49" s="10">
        <v>3</v>
      </c>
      <c r="F49" s="45" t="s">
        <v>11</v>
      </c>
      <c r="G49" s="14">
        <v>2</v>
      </c>
    </row>
    <row r="50" spans="1:10" ht="14.25" thickBot="1" x14ac:dyDescent="0.15">
      <c r="A50" s="100">
        <v>46186</v>
      </c>
      <c r="B50" s="19">
        <v>3</v>
      </c>
      <c r="C50" s="45" t="s">
        <v>13</v>
      </c>
      <c r="D50" s="27">
        <v>3</v>
      </c>
      <c r="E50" s="10">
        <v>3</v>
      </c>
      <c r="F50" s="45" t="s">
        <v>11</v>
      </c>
      <c r="G50" s="27">
        <v>3</v>
      </c>
      <c r="H50" s="8">
        <v>1</v>
      </c>
      <c r="I50" s="67" t="s">
        <v>16</v>
      </c>
      <c r="J50" s="68">
        <v>1</v>
      </c>
    </row>
    <row r="51" spans="1:10" ht="14.25" thickBot="1" x14ac:dyDescent="0.15">
      <c r="A51" s="100">
        <v>46187</v>
      </c>
      <c r="B51" s="19">
        <v>3</v>
      </c>
      <c r="C51" s="45" t="s">
        <v>13</v>
      </c>
      <c r="D51" s="27">
        <v>4</v>
      </c>
      <c r="E51" s="10">
        <v>3</v>
      </c>
      <c r="F51" s="45" t="s">
        <v>11</v>
      </c>
      <c r="G51" s="27">
        <v>4</v>
      </c>
      <c r="H51" s="10">
        <v>1</v>
      </c>
      <c r="I51" s="45" t="s">
        <v>16</v>
      </c>
      <c r="J51" s="14">
        <v>2</v>
      </c>
    </row>
    <row r="52" spans="1:10" ht="14.25" thickBot="1" x14ac:dyDescent="0.15">
      <c r="A52" s="100">
        <v>46193</v>
      </c>
      <c r="B52" s="19">
        <v>3</v>
      </c>
      <c r="C52" s="45" t="s">
        <v>13</v>
      </c>
      <c r="D52" s="27">
        <v>5</v>
      </c>
      <c r="E52" s="10">
        <v>3</v>
      </c>
      <c r="F52" s="45" t="s">
        <v>11</v>
      </c>
      <c r="G52" s="27">
        <v>5</v>
      </c>
      <c r="H52" s="10">
        <v>1</v>
      </c>
      <c r="I52" s="45" t="s">
        <v>16</v>
      </c>
      <c r="J52" s="14">
        <v>3</v>
      </c>
    </row>
    <row r="53" spans="1:10" ht="14.25" thickBot="1" x14ac:dyDescent="0.15">
      <c r="A53" s="101">
        <v>46194</v>
      </c>
      <c r="B53" s="69">
        <v>3</v>
      </c>
      <c r="C53" s="70" t="s">
        <v>13</v>
      </c>
      <c r="D53" s="71">
        <v>6</v>
      </c>
      <c r="E53" s="74">
        <v>3</v>
      </c>
      <c r="F53" s="70" t="s">
        <v>11</v>
      </c>
      <c r="G53" s="71">
        <v>6</v>
      </c>
      <c r="H53" s="10">
        <v>1</v>
      </c>
      <c r="I53" s="45" t="s">
        <v>16</v>
      </c>
      <c r="J53" s="14">
        <v>4</v>
      </c>
    </row>
    <row r="54" spans="1:10" x14ac:dyDescent="0.1">
      <c r="A54" s="102">
        <v>46200</v>
      </c>
      <c r="B54" s="72">
        <v>2</v>
      </c>
      <c r="C54" s="67" t="s">
        <v>12</v>
      </c>
      <c r="D54" s="73">
        <v>1</v>
      </c>
      <c r="E54" s="8">
        <v>2</v>
      </c>
      <c r="F54" s="67" t="s">
        <v>17</v>
      </c>
      <c r="G54" s="73">
        <v>1</v>
      </c>
      <c r="H54" s="10">
        <v>1</v>
      </c>
      <c r="I54" s="45" t="s">
        <v>16</v>
      </c>
      <c r="J54" s="14">
        <v>5</v>
      </c>
    </row>
    <row r="55" spans="1:10" x14ac:dyDescent="0.1">
      <c r="A55" s="100">
        <v>46201</v>
      </c>
      <c r="B55" s="19">
        <v>2</v>
      </c>
      <c r="C55" s="45" t="s">
        <v>12</v>
      </c>
      <c r="D55" s="27">
        <v>2</v>
      </c>
      <c r="E55" s="10">
        <v>2</v>
      </c>
      <c r="F55" s="45" t="s">
        <v>17</v>
      </c>
      <c r="G55" s="27">
        <v>2</v>
      </c>
      <c r="H55" s="10">
        <v>1</v>
      </c>
      <c r="I55" s="45" t="s">
        <v>16</v>
      </c>
      <c r="J55" s="14">
        <v>6</v>
      </c>
    </row>
    <row r="56" spans="1:10" x14ac:dyDescent="0.1">
      <c r="A56" s="100">
        <v>46207</v>
      </c>
      <c r="B56" s="19">
        <v>2</v>
      </c>
      <c r="C56" s="45" t="s">
        <v>12</v>
      </c>
      <c r="D56" s="27">
        <v>3</v>
      </c>
      <c r="E56" s="10">
        <v>2</v>
      </c>
      <c r="F56" s="45" t="s">
        <v>17</v>
      </c>
      <c r="G56" s="27">
        <v>3</v>
      </c>
      <c r="H56" s="10">
        <v>1</v>
      </c>
      <c r="I56" s="45" t="s">
        <v>16</v>
      </c>
      <c r="J56" s="14">
        <v>7</v>
      </c>
    </row>
    <row r="57" spans="1:10" x14ac:dyDescent="0.1">
      <c r="A57" s="100">
        <v>46208</v>
      </c>
      <c r="B57" s="19">
        <v>2</v>
      </c>
      <c r="C57" s="45" t="s">
        <v>12</v>
      </c>
      <c r="D57" s="27">
        <v>4</v>
      </c>
      <c r="E57" s="10">
        <v>2</v>
      </c>
      <c r="F57" s="45" t="s">
        <v>17</v>
      </c>
      <c r="G57" s="27">
        <v>4</v>
      </c>
      <c r="H57" s="10">
        <v>1</v>
      </c>
      <c r="I57" s="45" t="s">
        <v>16</v>
      </c>
      <c r="J57" s="14">
        <v>8</v>
      </c>
    </row>
    <row r="58" spans="1:10" x14ac:dyDescent="0.1">
      <c r="A58" s="100">
        <v>46214</v>
      </c>
      <c r="B58" s="19">
        <v>2</v>
      </c>
      <c r="C58" s="45" t="s">
        <v>12</v>
      </c>
      <c r="D58" s="27">
        <v>5</v>
      </c>
      <c r="E58" s="10">
        <v>2</v>
      </c>
      <c r="F58" s="45" t="s">
        <v>17</v>
      </c>
      <c r="G58" s="27">
        <v>5</v>
      </c>
      <c r="H58" s="10">
        <v>1</v>
      </c>
      <c r="I58" s="45" t="s">
        <v>16</v>
      </c>
      <c r="J58" s="14">
        <v>9</v>
      </c>
    </row>
    <row r="59" spans="1:10" x14ac:dyDescent="0.1">
      <c r="A59" s="100">
        <v>46215</v>
      </c>
      <c r="B59" s="19">
        <v>2</v>
      </c>
      <c r="C59" s="45" t="s">
        <v>12</v>
      </c>
      <c r="D59" s="27">
        <v>6</v>
      </c>
      <c r="E59" s="10">
        <v>2</v>
      </c>
      <c r="F59" s="45" t="s">
        <v>17</v>
      </c>
      <c r="G59" s="27">
        <v>6</v>
      </c>
      <c r="H59" s="10">
        <v>1</v>
      </c>
      <c r="I59" s="45" t="s">
        <v>16</v>
      </c>
      <c r="J59" s="14">
        <v>10</v>
      </c>
    </row>
    <row r="60" spans="1:10" x14ac:dyDescent="0.1">
      <c r="A60" s="100">
        <v>46221</v>
      </c>
      <c r="B60" s="19">
        <v>2</v>
      </c>
      <c r="C60" s="45" t="s">
        <v>12</v>
      </c>
      <c r="D60" s="27">
        <v>7</v>
      </c>
      <c r="E60" s="10">
        <v>2</v>
      </c>
      <c r="F60" s="45" t="s">
        <v>17</v>
      </c>
      <c r="G60" s="27">
        <v>7</v>
      </c>
      <c r="H60" s="10">
        <v>1</v>
      </c>
      <c r="I60" s="45" t="s">
        <v>16</v>
      </c>
      <c r="J60" s="14">
        <v>11</v>
      </c>
    </row>
    <row r="61" spans="1:10" ht="14.25" thickBot="1" x14ac:dyDescent="0.15">
      <c r="A61" s="101">
        <v>46222</v>
      </c>
      <c r="B61" s="69">
        <v>2</v>
      </c>
      <c r="C61" s="70" t="s">
        <v>12</v>
      </c>
      <c r="D61" s="71">
        <v>8</v>
      </c>
      <c r="E61" s="74">
        <v>2</v>
      </c>
      <c r="F61" s="70" t="s">
        <v>17</v>
      </c>
      <c r="G61" s="71">
        <v>8</v>
      </c>
      <c r="H61" s="74">
        <v>1</v>
      </c>
      <c r="I61" s="70" t="s">
        <v>16</v>
      </c>
      <c r="J61" s="75">
        <v>12</v>
      </c>
    </row>
    <row r="62" spans="1:10" x14ac:dyDescent="0.1">
      <c r="A62" s="102">
        <v>46228</v>
      </c>
      <c r="B62" s="72">
        <v>2</v>
      </c>
      <c r="C62" s="67" t="s">
        <v>15</v>
      </c>
      <c r="D62" s="73">
        <v>1</v>
      </c>
      <c r="E62" s="8">
        <v>2</v>
      </c>
      <c r="F62" s="67" t="s">
        <v>18</v>
      </c>
      <c r="G62" s="73">
        <v>1</v>
      </c>
      <c r="H62" s="8">
        <v>1</v>
      </c>
      <c r="I62" s="67" t="s">
        <v>19</v>
      </c>
      <c r="J62" s="68">
        <v>1</v>
      </c>
    </row>
    <row r="63" spans="1:10" x14ac:dyDescent="0.1">
      <c r="A63" s="100">
        <v>46229</v>
      </c>
      <c r="B63" s="19">
        <v>2</v>
      </c>
      <c r="C63" s="45" t="s">
        <v>15</v>
      </c>
      <c r="D63" s="27">
        <v>2</v>
      </c>
      <c r="E63" s="10">
        <v>2</v>
      </c>
      <c r="F63" s="45" t="s">
        <v>18</v>
      </c>
      <c r="G63" s="27">
        <v>2</v>
      </c>
      <c r="H63" s="10">
        <v>1</v>
      </c>
      <c r="I63" s="45" t="s">
        <v>19</v>
      </c>
      <c r="J63" s="14">
        <v>2</v>
      </c>
    </row>
    <row r="64" spans="1:10" x14ac:dyDescent="0.1">
      <c r="A64" s="100">
        <v>46235</v>
      </c>
      <c r="B64" s="19">
        <v>2</v>
      </c>
      <c r="C64" s="45" t="s">
        <v>15</v>
      </c>
      <c r="D64" s="27">
        <v>3</v>
      </c>
      <c r="E64" s="10">
        <v>2</v>
      </c>
      <c r="F64" s="45" t="s">
        <v>18</v>
      </c>
      <c r="G64" s="27">
        <v>3</v>
      </c>
      <c r="H64" s="10">
        <v>1</v>
      </c>
      <c r="I64" s="45" t="s">
        <v>19</v>
      </c>
      <c r="J64" s="14">
        <v>3</v>
      </c>
    </row>
    <row r="65" spans="1:10" x14ac:dyDescent="0.1">
      <c r="A65" s="100">
        <v>46236</v>
      </c>
      <c r="B65" s="19">
        <v>2</v>
      </c>
      <c r="C65" s="45" t="s">
        <v>15</v>
      </c>
      <c r="D65" s="27">
        <v>4</v>
      </c>
      <c r="E65" s="10">
        <v>2</v>
      </c>
      <c r="F65" s="45" t="s">
        <v>18</v>
      </c>
      <c r="G65" s="27">
        <v>4</v>
      </c>
      <c r="H65" s="10">
        <v>1</v>
      </c>
      <c r="I65" s="45" t="s">
        <v>19</v>
      </c>
      <c r="J65" s="14">
        <v>4</v>
      </c>
    </row>
    <row r="66" spans="1:10" x14ac:dyDescent="0.1">
      <c r="A66" s="100">
        <v>46242</v>
      </c>
      <c r="B66" s="19">
        <v>2</v>
      </c>
      <c r="C66" s="45" t="s">
        <v>15</v>
      </c>
      <c r="D66" s="27">
        <v>5</v>
      </c>
      <c r="E66" s="10">
        <v>2</v>
      </c>
      <c r="F66" s="45" t="s">
        <v>18</v>
      </c>
      <c r="G66" s="27">
        <v>5</v>
      </c>
      <c r="H66" s="10">
        <v>1</v>
      </c>
      <c r="I66" s="45" t="s">
        <v>19</v>
      </c>
      <c r="J66" s="14">
        <v>5</v>
      </c>
    </row>
    <row r="67" spans="1:10" x14ac:dyDescent="0.1">
      <c r="A67" s="100">
        <v>46243</v>
      </c>
      <c r="B67" s="19">
        <v>2</v>
      </c>
      <c r="C67" s="45" t="s">
        <v>15</v>
      </c>
      <c r="D67" s="27">
        <v>6</v>
      </c>
      <c r="E67" s="10">
        <v>2</v>
      </c>
      <c r="F67" s="45" t="s">
        <v>18</v>
      </c>
      <c r="G67" s="27">
        <v>6</v>
      </c>
      <c r="H67" s="10">
        <v>1</v>
      </c>
      <c r="I67" s="45" t="s">
        <v>19</v>
      </c>
      <c r="J67" s="14">
        <v>6</v>
      </c>
    </row>
    <row r="68" spans="1:10" x14ac:dyDescent="0.1">
      <c r="A68" s="100">
        <v>46249</v>
      </c>
      <c r="B68" s="19">
        <v>2</v>
      </c>
      <c r="C68" s="45" t="s">
        <v>15</v>
      </c>
      <c r="D68" s="27">
        <v>7</v>
      </c>
      <c r="E68" s="10">
        <v>2</v>
      </c>
      <c r="F68" s="45" t="s">
        <v>18</v>
      </c>
      <c r="G68" s="27">
        <v>7</v>
      </c>
      <c r="H68" s="10">
        <v>1</v>
      </c>
      <c r="I68" s="45" t="s">
        <v>19</v>
      </c>
      <c r="J68" s="14">
        <v>7</v>
      </c>
    </row>
    <row r="69" spans="1:10" x14ac:dyDescent="0.1">
      <c r="A69" s="101">
        <v>46250</v>
      </c>
      <c r="B69" s="69">
        <v>2</v>
      </c>
      <c r="C69" s="70" t="s">
        <v>15</v>
      </c>
      <c r="D69" s="71">
        <v>8</v>
      </c>
      <c r="E69" s="74">
        <v>2</v>
      </c>
      <c r="F69" s="70" t="s">
        <v>18</v>
      </c>
      <c r="G69" s="71">
        <v>8</v>
      </c>
      <c r="H69" s="74">
        <v>1</v>
      </c>
      <c r="I69" s="70" t="s">
        <v>19</v>
      </c>
      <c r="J69" s="75">
        <v>8</v>
      </c>
    </row>
    <row r="70" spans="1:10" x14ac:dyDescent="0.1">
      <c r="A70" s="102">
        <v>46256</v>
      </c>
      <c r="B70" s="72">
        <v>3</v>
      </c>
      <c r="C70" s="67" t="s">
        <v>15</v>
      </c>
      <c r="D70" s="73">
        <v>1</v>
      </c>
      <c r="E70" s="8">
        <v>3</v>
      </c>
      <c r="F70" s="67" t="s">
        <v>18</v>
      </c>
      <c r="G70" s="73">
        <v>1</v>
      </c>
      <c r="H70" s="8">
        <v>2</v>
      </c>
      <c r="I70" s="67" t="s">
        <v>19</v>
      </c>
      <c r="J70" s="68">
        <v>1</v>
      </c>
    </row>
    <row r="71" spans="1:10" x14ac:dyDescent="0.1">
      <c r="A71" s="100">
        <v>46257</v>
      </c>
      <c r="B71" s="19">
        <v>3</v>
      </c>
      <c r="C71" s="45" t="s">
        <v>15</v>
      </c>
      <c r="D71" s="27">
        <v>2</v>
      </c>
      <c r="E71" s="10">
        <v>3</v>
      </c>
      <c r="F71" s="45" t="s">
        <v>18</v>
      </c>
      <c r="G71" s="27">
        <v>2</v>
      </c>
      <c r="H71" s="10">
        <v>2</v>
      </c>
      <c r="I71" s="45" t="s">
        <v>19</v>
      </c>
      <c r="J71" s="14">
        <v>2</v>
      </c>
    </row>
    <row r="72" spans="1:10" x14ac:dyDescent="0.1">
      <c r="A72" s="100">
        <v>46263</v>
      </c>
      <c r="B72" s="19">
        <v>3</v>
      </c>
      <c r="C72" s="45" t="s">
        <v>15</v>
      </c>
      <c r="D72" s="27">
        <v>3</v>
      </c>
      <c r="E72" s="10">
        <v>3</v>
      </c>
      <c r="F72" s="45" t="s">
        <v>18</v>
      </c>
      <c r="G72" s="27">
        <v>3</v>
      </c>
      <c r="H72" s="10">
        <v>2</v>
      </c>
      <c r="I72" s="45" t="s">
        <v>19</v>
      </c>
      <c r="J72" s="14">
        <v>3</v>
      </c>
    </row>
    <row r="73" spans="1:10" ht="14.25" thickBot="1" x14ac:dyDescent="0.15">
      <c r="A73" s="101">
        <v>46264</v>
      </c>
      <c r="B73" s="69">
        <v>3</v>
      </c>
      <c r="C73" s="70" t="s">
        <v>15</v>
      </c>
      <c r="D73" s="71">
        <v>4</v>
      </c>
      <c r="E73" s="74">
        <v>3</v>
      </c>
      <c r="F73" s="70" t="s">
        <v>18</v>
      </c>
      <c r="G73" s="71">
        <v>4</v>
      </c>
      <c r="H73" s="10">
        <v>2</v>
      </c>
      <c r="I73" s="45" t="s">
        <v>19</v>
      </c>
      <c r="J73" s="14">
        <v>4</v>
      </c>
    </row>
    <row r="74" spans="1:10" x14ac:dyDescent="0.1">
      <c r="A74" s="103">
        <v>46270</v>
      </c>
      <c r="B74" s="77">
        <v>4</v>
      </c>
      <c r="C74" s="78" t="s">
        <v>0</v>
      </c>
      <c r="D74" s="85">
        <v>1</v>
      </c>
      <c r="E74" s="77">
        <v>4</v>
      </c>
      <c r="F74" s="78" t="s">
        <v>11</v>
      </c>
      <c r="G74" s="79">
        <v>1</v>
      </c>
      <c r="H74" s="19">
        <v>2</v>
      </c>
      <c r="I74" s="45" t="s">
        <v>19</v>
      </c>
      <c r="J74" s="14">
        <v>5</v>
      </c>
    </row>
    <row r="75" spans="1:10" ht="14.25" thickBot="1" x14ac:dyDescent="0.15">
      <c r="A75" s="104">
        <v>46271</v>
      </c>
      <c r="B75" s="80">
        <v>4</v>
      </c>
      <c r="C75" s="76" t="s">
        <v>0</v>
      </c>
      <c r="D75" s="86">
        <v>2</v>
      </c>
      <c r="E75" s="80">
        <v>4</v>
      </c>
      <c r="F75" s="76" t="s">
        <v>11</v>
      </c>
      <c r="G75" s="81">
        <v>2</v>
      </c>
      <c r="H75" s="20">
        <v>2</v>
      </c>
      <c r="I75" s="46" t="s">
        <v>19</v>
      </c>
      <c r="J75" s="15">
        <v>6</v>
      </c>
    </row>
    <row r="76" spans="1:10" x14ac:dyDescent="0.1">
      <c r="A76" s="104">
        <v>46277</v>
      </c>
      <c r="B76" s="80">
        <v>4</v>
      </c>
      <c r="C76" s="76" t="s">
        <v>0</v>
      </c>
      <c r="D76" s="86">
        <v>3</v>
      </c>
      <c r="E76" s="80">
        <v>4</v>
      </c>
      <c r="F76" s="76" t="s">
        <v>11</v>
      </c>
      <c r="G76" s="81">
        <v>3</v>
      </c>
    </row>
    <row r="77" spans="1:10" x14ac:dyDescent="0.1">
      <c r="A77" s="104">
        <v>46278</v>
      </c>
      <c r="B77" s="80">
        <v>4</v>
      </c>
      <c r="C77" s="76" t="s">
        <v>0</v>
      </c>
      <c r="D77" s="86">
        <v>4</v>
      </c>
      <c r="E77" s="80">
        <v>4</v>
      </c>
      <c r="F77" s="76" t="s">
        <v>11</v>
      </c>
      <c r="G77" s="81">
        <v>4</v>
      </c>
    </row>
    <row r="78" spans="1:10" x14ac:dyDescent="0.1">
      <c r="A78" s="104">
        <v>46284</v>
      </c>
      <c r="B78" s="80">
        <v>4</v>
      </c>
      <c r="C78" s="76" t="s">
        <v>0</v>
      </c>
      <c r="D78" s="86">
        <v>5</v>
      </c>
      <c r="E78" s="80">
        <v>4</v>
      </c>
      <c r="F78" s="76" t="s">
        <v>11</v>
      </c>
      <c r="G78" s="81">
        <v>5</v>
      </c>
    </row>
    <row r="79" spans="1:10" x14ac:dyDescent="0.1">
      <c r="A79" s="104">
        <v>46285</v>
      </c>
      <c r="B79" s="80">
        <v>4</v>
      </c>
      <c r="C79" s="76" t="s">
        <v>0</v>
      </c>
      <c r="D79" s="86">
        <v>6</v>
      </c>
      <c r="E79" s="80">
        <v>4</v>
      </c>
      <c r="F79" s="76" t="s">
        <v>11</v>
      </c>
      <c r="G79" s="81">
        <v>6</v>
      </c>
    </row>
    <row r="80" spans="1:10" x14ac:dyDescent="0.1">
      <c r="A80" s="104">
        <v>46286</v>
      </c>
      <c r="B80" s="80">
        <v>4</v>
      </c>
      <c r="C80" s="76" t="s">
        <v>0</v>
      </c>
      <c r="D80" s="86">
        <v>7</v>
      </c>
      <c r="E80" s="80">
        <v>4</v>
      </c>
      <c r="F80" s="76" t="s">
        <v>11</v>
      </c>
      <c r="G80" s="81">
        <v>7</v>
      </c>
    </row>
    <row r="81" spans="1:10" x14ac:dyDescent="0.1">
      <c r="A81" s="104">
        <v>46291</v>
      </c>
      <c r="B81" s="80">
        <v>4</v>
      </c>
      <c r="C81" s="76" t="s">
        <v>0</v>
      </c>
      <c r="D81" s="86">
        <v>8</v>
      </c>
      <c r="E81" s="80">
        <v>4</v>
      </c>
      <c r="F81" s="76" t="s">
        <v>11</v>
      </c>
      <c r="G81" s="81">
        <v>8</v>
      </c>
    </row>
    <row r="82" spans="1:10" ht="14.25" thickBot="1" x14ac:dyDescent="0.15">
      <c r="A82" s="105">
        <v>46292</v>
      </c>
      <c r="B82" s="88">
        <v>4</v>
      </c>
      <c r="C82" s="89" t="s">
        <v>0</v>
      </c>
      <c r="D82" s="90">
        <v>9</v>
      </c>
      <c r="E82" s="88">
        <v>4</v>
      </c>
      <c r="F82" s="89" t="s">
        <v>11</v>
      </c>
      <c r="G82" s="91">
        <v>9</v>
      </c>
    </row>
    <row r="83" spans="1:10" x14ac:dyDescent="0.1">
      <c r="A83" s="103">
        <v>46298</v>
      </c>
      <c r="B83" s="77">
        <v>4</v>
      </c>
      <c r="C83" s="78" t="s">
        <v>1154</v>
      </c>
      <c r="D83" s="85">
        <v>1</v>
      </c>
      <c r="E83" s="77">
        <v>4</v>
      </c>
      <c r="F83" s="78" t="s">
        <v>1155</v>
      </c>
      <c r="G83" s="79">
        <v>1</v>
      </c>
    </row>
    <row r="84" spans="1:10" x14ac:dyDescent="0.1">
      <c r="A84" s="104">
        <v>46299</v>
      </c>
      <c r="B84" s="80">
        <v>4</v>
      </c>
      <c r="C84" s="76" t="s">
        <v>1154</v>
      </c>
      <c r="D84" s="86">
        <v>2</v>
      </c>
      <c r="E84" s="80">
        <v>4</v>
      </c>
      <c r="F84" s="76" t="s">
        <v>1155</v>
      </c>
      <c r="G84" s="81">
        <v>2</v>
      </c>
    </row>
    <row r="85" spans="1:10" x14ac:dyDescent="0.1">
      <c r="A85" s="104">
        <v>46305</v>
      </c>
      <c r="B85" s="80">
        <v>4</v>
      </c>
      <c r="C85" s="76" t="s">
        <v>1154</v>
      </c>
      <c r="D85" s="86">
        <v>3</v>
      </c>
      <c r="E85" s="80">
        <v>4</v>
      </c>
      <c r="F85" s="76" t="s">
        <v>1155</v>
      </c>
      <c r="G85" s="81">
        <v>3</v>
      </c>
    </row>
    <row r="86" spans="1:10" x14ac:dyDescent="0.1">
      <c r="A86" s="104">
        <v>46306</v>
      </c>
      <c r="B86" s="80">
        <v>4</v>
      </c>
      <c r="C86" s="76" t="s">
        <v>1154</v>
      </c>
      <c r="D86" s="86">
        <v>4</v>
      </c>
      <c r="E86" s="80">
        <v>4</v>
      </c>
      <c r="F86" s="76" t="s">
        <v>1155</v>
      </c>
      <c r="G86" s="81">
        <v>4</v>
      </c>
    </row>
    <row r="87" spans="1:10" x14ac:dyDescent="0.1">
      <c r="A87" s="104">
        <v>46307</v>
      </c>
      <c r="B87" s="80">
        <v>4</v>
      </c>
      <c r="C87" s="76" t="s">
        <v>1154</v>
      </c>
      <c r="D87" s="86">
        <v>5</v>
      </c>
      <c r="E87" s="80">
        <v>4</v>
      </c>
      <c r="F87" s="76" t="s">
        <v>1155</v>
      </c>
      <c r="G87" s="81">
        <v>5</v>
      </c>
    </row>
    <row r="88" spans="1:10" x14ac:dyDescent="0.1">
      <c r="A88" s="104">
        <v>46312</v>
      </c>
      <c r="B88" s="80">
        <v>4</v>
      </c>
      <c r="C88" s="76" t="s">
        <v>1154</v>
      </c>
      <c r="D88" s="86">
        <v>6</v>
      </c>
      <c r="E88" s="80">
        <v>4</v>
      </c>
      <c r="F88" s="76" t="s">
        <v>1155</v>
      </c>
      <c r="G88" s="86">
        <v>6</v>
      </c>
      <c r="H88" s="77">
        <v>4</v>
      </c>
      <c r="I88" s="78" t="s">
        <v>1156</v>
      </c>
      <c r="J88" s="79">
        <v>1</v>
      </c>
    </row>
    <row r="89" spans="1:10" x14ac:dyDescent="0.1">
      <c r="A89" s="104">
        <v>46313</v>
      </c>
      <c r="B89" s="80">
        <v>4</v>
      </c>
      <c r="C89" s="76" t="s">
        <v>1154</v>
      </c>
      <c r="D89" s="86">
        <v>7</v>
      </c>
      <c r="E89" s="80">
        <v>4</v>
      </c>
      <c r="F89" s="76" t="s">
        <v>1155</v>
      </c>
      <c r="G89" s="86">
        <v>7</v>
      </c>
      <c r="H89" s="80">
        <v>4</v>
      </c>
      <c r="I89" s="76" t="s">
        <v>1156</v>
      </c>
      <c r="J89" s="81">
        <v>2</v>
      </c>
    </row>
    <row r="90" spans="1:10" x14ac:dyDescent="0.1">
      <c r="A90" s="104">
        <v>46319</v>
      </c>
      <c r="B90" s="80">
        <v>4</v>
      </c>
      <c r="C90" s="76" t="s">
        <v>1154</v>
      </c>
      <c r="D90" s="86">
        <v>8</v>
      </c>
      <c r="E90" s="80">
        <v>4</v>
      </c>
      <c r="F90" s="76" t="s">
        <v>1155</v>
      </c>
      <c r="G90" s="86">
        <v>8</v>
      </c>
      <c r="H90" s="80">
        <v>4</v>
      </c>
      <c r="I90" s="76" t="s">
        <v>1156</v>
      </c>
      <c r="J90" s="81">
        <v>3</v>
      </c>
    </row>
    <row r="91" spans="1:10" ht="14.25" thickBot="1" x14ac:dyDescent="0.15">
      <c r="A91" s="104">
        <v>46320</v>
      </c>
      <c r="B91" s="80">
        <v>4</v>
      </c>
      <c r="C91" s="76" t="s">
        <v>1154</v>
      </c>
      <c r="D91" s="86">
        <v>9</v>
      </c>
      <c r="E91" s="80">
        <v>4</v>
      </c>
      <c r="F91" s="76" t="s">
        <v>1155</v>
      </c>
      <c r="G91" s="86">
        <v>9</v>
      </c>
      <c r="H91" s="82">
        <v>4</v>
      </c>
      <c r="I91" s="83" t="s">
        <v>1156</v>
      </c>
      <c r="J91" s="84">
        <v>4</v>
      </c>
    </row>
    <row r="92" spans="1:10" x14ac:dyDescent="0.1">
      <c r="A92" s="104">
        <v>46326</v>
      </c>
      <c r="B92" s="80">
        <v>4</v>
      </c>
      <c r="C92" s="76" t="s">
        <v>1154</v>
      </c>
      <c r="D92" s="86">
        <v>10</v>
      </c>
      <c r="E92" s="80">
        <v>4</v>
      </c>
      <c r="F92" s="76" t="s">
        <v>1155</v>
      </c>
      <c r="G92" s="81">
        <v>10</v>
      </c>
    </row>
    <row r="93" spans="1:10" x14ac:dyDescent="0.1">
      <c r="A93" s="104">
        <v>46327</v>
      </c>
      <c r="B93" s="80">
        <v>4</v>
      </c>
      <c r="C93" s="76" t="s">
        <v>1154</v>
      </c>
      <c r="D93" s="86">
        <v>11</v>
      </c>
      <c r="E93" s="80">
        <v>4</v>
      </c>
      <c r="F93" s="76" t="s">
        <v>1155</v>
      </c>
      <c r="G93" s="81">
        <v>11</v>
      </c>
    </row>
    <row r="94" spans="1:10" x14ac:dyDescent="0.1">
      <c r="A94" s="104">
        <v>46333</v>
      </c>
      <c r="B94" s="80">
        <v>4</v>
      </c>
      <c r="C94" s="76" t="s">
        <v>1154</v>
      </c>
      <c r="D94" s="86">
        <v>12</v>
      </c>
      <c r="E94" s="80">
        <v>4</v>
      </c>
      <c r="F94" s="76" t="s">
        <v>1155</v>
      </c>
      <c r="G94" s="86">
        <v>12</v>
      </c>
      <c r="H94" s="77">
        <v>3</v>
      </c>
      <c r="I94" s="78" t="s">
        <v>1157</v>
      </c>
      <c r="J94" s="79">
        <v>1</v>
      </c>
    </row>
    <row r="95" spans="1:10" x14ac:dyDescent="0.1">
      <c r="A95" s="105">
        <v>46334</v>
      </c>
      <c r="B95" s="88">
        <v>4</v>
      </c>
      <c r="C95" s="89" t="s">
        <v>1154</v>
      </c>
      <c r="D95" s="90">
        <v>13</v>
      </c>
      <c r="E95" s="88">
        <v>4</v>
      </c>
      <c r="F95" s="89" t="s">
        <v>1155</v>
      </c>
      <c r="G95" s="90">
        <v>13</v>
      </c>
      <c r="H95" s="80">
        <v>3</v>
      </c>
      <c r="I95" s="76" t="s">
        <v>1157</v>
      </c>
      <c r="J95" s="81">
        <v>2</v>
      </c>
    </row>
    <row r="96" spans="1:10" x14ac:dyDescent="0.1">
      <c r="A96" s="103">
        <v>46340</v>
      </c>
      <c r="B96" s="77">
        <v>5</v>
      </c>
      <c r="C96" s="78" t="s">
        <v>1154</v>
      </c>
      <c r="D96" s="85">
        <v>1</v>
      </c>
      <c r="E96" s="77">
        <v>5</v>
      </c>
      <c r="F96" s="78" t="s">
        <v>1155</v>
      </c>
      <c r="G96" s="79">
        <v>1</v>
      </c>
      <c r="H96" s="92">
        <v>3</v>
      </c>
      <c r="I96" s="76" t="s">
        <v>1157</v>
      </c>
      <c r="J96" s="81">
        <v>3</v>
      </c>
    </row>
    <row r="97" spans="1:10" x14ac:dyDescent="0.1">
      <c r="A97" s="104">
        <v>46341</v>
      </c>
      <c r="B97" s="80">
        <v>5</v>
      </c>
      <c r="C97" s="76" t="s">
        <v>1154</v>
      </c>
      <c r="D97" s="86">
        <v>2</v>
      </c>
      <c r="E97" s="80">
        <v>5</v>
      </c>
      <c r="F97" s="76" t="s">
        <v>1155</v>
      </c>
      <c r="G97" s="81">
        <v>2</v>
      </c>
      <c r="H97" s="92">
        <v>3</v>
      </c>
      <c r="I97" s="76" t="s">
        <v>1157</v>
      </c>
      <c r="J97" s="81">
        <v>4</v>
      </c>
    </row>
    <row r="98" spans="1:10" x14ac:dyDescent="0.1">
      <c r="A98" s="104">
        <v>46347</v>
      </c>
      <c r="B98" s="80"/>
      <c r="C98" s="76"/>
      <c r="D98" s="86"/>
      <c r="E98" s="80">
        <v>5</v>
      </c>
      <c r="F98" s="76" t="s">
        <v>1155</v>
      </c>
      <c r="G98" s="81">
        <v>3</v>
      </c>
      <c r="H98" s="92">
        <v>3</v>
      </c>
      <c r="I98" s="76" t="s">
        <v>1157</v>
      </c>
      <c r="J98" s="81">
        <v>5</v>
      </c>
    </row>
    <row r="99" spans="1:10" x14ac:dyDescent="0.1">
      <c r="A99" s="104">
        <v>46348</v>
      </c>
      <c r="B99" s="80">
        <v>5</v>
      </c>
      <c r="C99" s="76" t="s">
        <v>1154</v>
      </c>
      <c r="D99" s="86">
        <v>3</v>
      </c>
      <c r="E99" s="80">
        <v>5</v>
      </c>
      <c r="F99" s="76" t="s">
        <v>1155</v>
      </c>
      <c r="G99" s="81">
        <v>4</v>
      </c>
      <c r="H99" s="92"/>
      <c r="I99" s="76"/>
      <c r="J99" s="81"/>
    </row>
    <row r="100" spans="1:10" ht="14.25" thickBot="1" x14ac:dyDescent="0.15">
      <c r="A100" s="104">
        <v>46349</v>
      </c>
      <c r="B100" s="80">
        <v>5</v>
      </c>
      <c r="C100" s="76" t="s">
        <v>1154</v>
      </c>
      <c r="D100" s="86">
        <v>4</v>
      </c>
      <c r="E100" s="80"/>
      <c r="F100" s="76"/>
      <c r="G100" s="81"/>
      <c r="H100" s="93">
        <v>3</v>
      </c>
      <c r="I100" s="83" t="s">
        <v>1157</v>
      </c>
      <c r="J100" s="84">
        <v>6</v>
      </c>
    </row>
    <row r="101" spans="1:10" x14ac:dyDescent="0.1">
      <c r="A101" s="104">
        <v>46354</v>
      </c>
      <c r="B101" s="80">
        <v>5</v>
      </c>
      <c r="C101" s="76" t="s">
        <v>1154</v>
      </c>
      <c r="D101" s="86">
        <v>5</v>
      </c>
      <c r="E101" s="80">
        <v>5</v>
      </c>
      <c r="F101" s="76" t="s">
        <v>1155</v>
      </c>
      <c r="G101" s="81">
        <v>5</v>
      </c>
    </row>
    <row r="102" spans="1:10" ht="14.25" thickBot="1" x14ac:dyDescent="0.15">
      <c r="A102" s="105">
        <v>46355</v>
      </c>
      <c r="B102" s="88">
        <v>5</v>
      </c>
      <c r="C102" s="89" t="s">
        <v>1154</v>
      </c>
      <c r="D102" s="90">
        <v>6</v>
      </c>
      <c r="E102" s="88">
        <v>5</v>
      </c>
      <c r="F102" s="89" t="s">
        <v>1155</v>
      </c>
      <c r="G102" s="91">
        <v>6</v>
      </c>
    </row>
    <row r="103" spans="1:10" x14ac:dyDescent="0.1">
      <c r="A103" s="103">
        <v>46361</v>
      </c>
      <c r="B103" s="77">
        <v>5</v>
      </c>
      <c r="C103" s="78" t="s">
        <v>1158</v>
      </c>
      <c r="D103" s="85">
        <v>1</v>
      </c>
      <c r="E103" s="77">
        <v>5</v>
      </c>
      <c r="F103" s="78" t="s">
        <v>1152</v>
      </c>
      <c r="G103" s="85">
        <v>1</v>
      </c>
      <c r="H103" s="77">
        <v>4</v>
      </c>
      <c r="I103" s="78" t="s">
        <v>1159</v>
      </c>
      <c r="J103" s="79">
        <v>1</v>
      </c>
    </row>
    <row r="104" spans="1:10" x14ac:dyDescent="0.1">
      <c r="A104" s="104">
        <v>46362</v>
      </c>
      <c r="B104" s="80">
        <v>5</v>
      </c>
      <c r="C104" s="76" t="s">
        <v>1158</v>
      </c>
      <c r="D104" s="86">
        <v>2</v>
      </c>
      <c r="E104" s="80">
        <v>5</v>
      </c>
      <c r="F104" s="76" t="s">
        <v>1152</v>
      </c>
      <c r="G104" s="86">
        <v>2</v>
      </c>
      <c r="H104" s="80">
        <v>4</v>
      </c>
      <c r="I104" s="76" t="s">
        <v>1159</v>
      </c>
      <c r="J104" s="81">
        <v>2</v>
      </c>
    </row>
    <row r="105" spans="1:10" x14ac:dyDescent="0.1">
      <c r="A105" s="104">
        <v>46368</v>
      </c>
      <c r="B105" s="80">
        <v>5</v>
      </c>
      <c r="C105" s="76" t="s">
        <v>1158</v>
      </c>
      <c r="D105" s="86">
        <v>3</v>
      </c>
      <c r="E105" s="80">
        <v>5</v>
      </c>
      <c r="F105" s="76" t="s">
        <v>1152</v>
      </c>
      <c r="G105" s="86">
        <v>3</v>
      </c>
      <c r="H105" s="80">
        <v>4</v>
      </c>
      <c r="I105" s="76" t="s">
        <v>1159</v>
      </c>
      <c r="J105" s="81">
        <v>3</v>
      </c>
    </row>
    <row r="106" spans="1:10" x14ac:dyDescent="0.1">
      <c r="A106" s="104">
        <v>46369</v>
      </c>
      <c r="B106" s="80">
        <v>5</v>
      </c>
      <c r="C106" s="76" t="s">
        <v>1158</v>
      </c>
      <c r="D106" s="86">
        <v>4</v>
      </c>
      <c r="E106" s="80">
        <v>5</v>
      </c>
      <c r="F106" s="76" t="s">
        <v>1152</v>
      </c>
      <c r="G106" s="86">
        <v>4</v>
      </c>
      <c r="H106" s="80">
        <v>4</v>
      </c>
      <c r="I106" s="76" t="s">
        <v>1159</v>
      </c>
      <c r="J106" s="81">
        <v>4</v>
      </c>
    </row>
    <row r="107" spans="1:10" x14ac:dyDescent="0.1">
      <c r="A107" s="104">
        <v>46375</v>
      </c>
      <c r="B107" s="80">
        <v>5</v>
      </c>
      <c r="C107" s="76" t="s">
        <v>1158</v>
      </c>
      <c r="D107" s="86">
        <v>5</v>
      </c>
      <c r="E107" s="80">
        <v>5</v>
      </c>
      <c r="F107" s="76" t="s">
        <v>1152</v>
      </c>
      <c r="G107" s="86">
        <v>5</v>
      </c>
      <c r="H107" s="80">
        <v>4</v>
      </c>
      <c r="I107" s="76" t="s">
        <v>1159</v>
      </c>
      <c r="J107" s="81">
        <v>5</v>
      </c>
    </row>
    <row r="108" spans="1:10" ht="14.25" thickBot="1" x14ac:dyDescent="0.15">
      <c r="A108" s="104">
        <v>46376</v>
      </c>
      <c r="B108" s="80">
        <v>5</v>
      </c>
      <c r="C108" s="76" t="s">
        <v>1158</v>
      </c>
      <c r="D108" s="86">
        <v>6</v>
      </c>
      <c r="E108" s="80">
        <v>5</v>
      </c>
      <c r="F108" s="76" t="s">
        <v>1152</v>
      </c>
      <c r="G108" s="86">
        <v>6</v>
      </c>
      <c r="H108" s="82">
        <v>4</v>
      </c>
      <c r="I108" s="83" t="s">
        <v>1159</v>
      </c>
      <c r="J108" s="84">
        <v>6</v>
      </c>
    </row>
    <row r="109" spans="1:10" x14ac:dyDescent="0.1">
      <c r="A109" s="104">
        <v>46382</v>
      </c>
      <c r="B109" s="80">
        <v>5</v>
      </c>
      <c r="C109" s="76" t="s">
        <v>1158</v>
      </c>
      <c r="D109" s="86">
        <v>7</v>
      </c>
      <c r="E109" s="80">
        <v>5</v>
      </c>
      <c r="F109" s="76" t="s">
        <v>1152</v>
      </c>
      <c r="G109" s="81">
        <v>7</v>
      </c>
    </row>
    <row r="110" spans="1:10" ht="14.25" thickBot="1" x14ac:dyDescent="0.15">
      <c r="A110" s="106">
        <v>46383</v>
      </c>
      <c r="B110" s="82">
        <v>5</v>
      </c>
      <c r="C110" s="83" t="s">
        <v>1158</v>
      </c>
      <c r="D110" s="87">
        <v>8</v>
      </c>
      <c r="E110" s="82">
        <v>5</v>
      </c>
      <c r="F110" s="83" t="s">
        <v>1152</v>
      </c>
      <c r="G110" s="84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6F82-F9E9-0C4D-ACEF-05021B9C045A}">
  <dimension ref="A1:C2"/>
  <sheetViews>
    <sheetView zoomScaleNormal="100" zoomScaleSheetLayoutView="100" workbookViewId="0">
      <selection activeCell="C2" sqref="C2"/>
    </sheetView>
  </sheetViews>
  <sheetFormatPr defaultRowHeight="13.5" x14ac:dyDescent="0.1"/>
  <cols>
    <col min="1" max="1" width="14.7265625" bestFit="1" customWidth="1"/>
  </cols>
  <sheetData>
    <row r="1" spans="1:3" x14ac:dyDescent="0.1">
      <c r="A1" t="s">
        <v>297</v>
      </c>
      <c r="B1" t="s">
        <v>1163</v>
      </c>
      <c r="C1" t="s">
        <v>1164</v>
      </c>
    </row>
    <row r="2" spans="1:3" x14ac:dyDescent="0.1">
      <c r="A2" t="s">
        <v>857</v>
      </c>
      <c r="B2">
        <v>4300</v>
      </c>
      <c r="C2">
        <v>1700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1AA6-5396-4D94-829B-6BBBC5CB4007}">
  <sheetPr codeName="Sheet4"/>
  <dimension ref="A1:AA30"/>
  <sheetViews>
    <sheetView tabSelected="1" workbookViewId="0">
      <selection activeCell="B26" sqref="B26"/>
    </sheetView>
  </sheetViews>
  <sheetFormatPr defaultRowHeight="13.5" x14ac:dyDescent="0.1"/>
  <cols>
    <col min="1" max="1" width="11.1796875" bestFit="1" customWidth="1"/>
    <col min="2" max="2" width="22.2265625" bestFit="1" customWidth="1"/>
    <col min="3" max="3" width="9.26953125" bestFit="1" customWidth="1"/>
    <col min="4" max="4" width="11.1796875" bestFit="1" customWidth="1"/>
    <col min="5" max="5" width="26.1796875" bestFit="1" customWidth="1"/>
    <col min="6" max="6" width="9.26953125" bestFit="1" customWidth="1"/>
    <col min="7" max="7" width="11.1796875" bestFit="1" customWidth="1"/>
    <col min="8" max="8" width="17.1796875" bestFit="1" customWidth="1"/>
    <col min="9" max="9" width="9.26953125" bestFit="1" customWidth="1"/>
    <col min="10" max="10" width="11.1796875" bestFit="1" customWidth="1"/>
    <col min="11" max="11" width="32.04296875" bestFit="1" customWidth="1"/>
    <col min="12" max="12" width="9.26953125" bestFit="1" customWidth="1"/>
    <col min="13" max="13" width="11.1796875" bestFit="1" customWidth="1"/>
    <col min="14" max="14" width="24.81640625" bestFit="1" customWidth="1"/>
    <col min="15" max="15" width="9.26953125" bestFit="1" customWidth="1"/>
    <col min="16" max="16" width="11.1796875" bestFit="1" customWidth="1"/>
    <col min="17" max="17" width="26.1796875" bestFit="1" customWidth="1"/>
    <col min="18" max="18" width="9.26953125" bestFit="1" customWidth="1"/>
    <col min="19" max="19" width="11.1796875" bestFit="1" customWidth="1"/>
    <col min="20" max="20" width="23.1796875" bestFit="1" customWidth="1"/>
    <col min="21" max="21" width="9.26953125" bestFit="1" customWidth="1"/>
    <col min="22" max="22" width="11.1796875" bestFit="1" customWidth="1"/>
    <col min="23" max="23" width="18.1328125" bestFit="1" customWidth="1"/>
    <col min="24" max="24" width="9.26953125" bestFit="1" customWidth="1"/>
    <col min="25" max="25" width="11.1796875" bestFit="1" customWidth="1"/>
    <col min="26" max="26" width="39.1328125" bestFit="1" customWidth="1"/>
    <col min="27" max="27" width="9.26953125" bestFit="1" customWidth="1"/>
  </cols>
  <sheetData>
    <row r="1" spans="1:27" x14ac:dyDescent="0.1">
      <c r="A1" t="s">
        <v>852</v>
      </c>
      <c r="D1" t="s">
        <v>863</v>
      </c>
      <c r="G1" t="s">
        <v>873</v>
      </c>
      <c r="J1" t="s">
        <v>882</v>
      </c>
      <c r="M1" t="s">
        <v>890</v>
      </c>
      <c r="P1" t="s">
        <v>899</v>
      </c>
      <c r="S1" t="s">
        <v>908</v>
      </c>
      <c r="V1" t="s">
        <v>916</v>
      </c>
      <c r="Y1" t="s">
        <v>929</v>
      </c>
    </row>
    <row r="2" spans="1:27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</row>
    <row r="3" spans="1:27" x14ac:dyDescent="0.1">
      <c r="A3" t="s">
        <v>24</v>
      </c>
      <c r="B3" t="s">
        <v>25</v>
      </c>
      <c r="C3" s="6">
        <v>0.4201388888888889</v>
      </c>
      <c r="D3" t="s">
        <v>24</v>
      </c>
      <c r="E3" t="s">
        <v>25</v>
      </c>
      <c r="F3" s="6">
        <v>0.4201388888888889</v>
      </c>
      <c r="G3" t="s">
        <v>24</v>
      </c>
      <c r="H3" t="s">
        <v>25</v>
      </c>
      <c r="I3" s="6">
        <v>0.4201388888888889</v>
      </c>
      <c r="J3" t="s">
        <v>24</v>
      </c>
      <c r="K3" t="s">
        <v>25</v>
      </c>
      <c r="L3" s="6">
        <v>0.4201388888888889</v>
      </c>
      <c r="M3" t="s">
        <v>24</v>
      </c>
      <c r="N3" t="s">
        <v>25</v>
      </c>
      <c r="O3" s="6">
        <v>0.40972222222222221</v>
      </c>
      <c r="P3" t="s">
        <v>24</v>
      </c>
      <c r="Q3" t="s">
        <v>25</v>
      </c>
      <c r="R3" s="6">
        <v>0.4201388888888889</v>
      </c>
      <c r="S3" t="s">
        <v>24</v>
      </c>
      <c r="T3" t="s">
        <v>25</v>
      </c>
      <c r="U3" s="6">
        <v>0.4201388888888889</v>
      </c>
      <c r="V3" t="s">
        <v>24</v>
      </c>
      <c r="W3" t="s">
        <v>25</v>
      </c>
      <c r="X3" s="6">
        <v>0.41319444444444442</v>
      </c>
      <c r="Y3" t="s">
        <v>24</v>
      </c>
      <c r="Z3" t="s">
        <v>25</v>
      </c>
      <c r="AA3" s="6">
        <v>0.4201388888888889</v>
      </c>
    </row>
    <row r="4" spans="1:27" x14ac:dyDescent="0.1">
      <c r="B4" t="s">
        <v>222</v>
      </c>
      <c r="E4" t="s">
        <v>122</v>
      </c>
      <c r="H4" t="s">
        <v>222</v>
      </c>
      <c r="K4" t="s">
        <v>122</v>
      </c>
      <c r="N4" t="s">
        <v>122</v>
      </c>
      <c r="Q4" t="s">
        <v>122</v>
      </c>
      <c r="T4" t="s">
        <v>122</v>
      </c>
      <c r="W4" t="s">
        <v>222</v>
      </c>
      <c r="Z4" t="s">
        <v>122</v>
      </c>
    </row>
    <row r="5" spans="1:27" x14ac:dyDescent="0.1">
      <c r="A5" t="s">
        <v>27</v>
      </c>
      <c r="B5" t="s">
        <v>25</v>
      </c>
      <c r="C5" s="6">
        <v>0.44097222222222221</v>
      </c>
      <c r="D5" t="s">
        <v>27</v>
      </c>
      <c r="E5" t="s">
        <v>25</v>
      </c>
      <c r="F5" s="6">
        <v>0.44097222222222221</v>
      </c>
      <c r="G5" t="s">
        <v>27</v>
      </c>
      <c r="H5" t="s">
        <v>25</v>
      </c>
      <c r="I5" s="6">
        <v>0.44097222222222221</v>
      </c>
      <c r="J5" t="s">
        <v>27</v>
      </c>
      <c r="K5" t="s">
        <v>25</v>
      </c>
      <c r="L5" s="6">
        <v>0.44097222222222221</v>
      </c>
      <c r="M5" t="s">
        <v>27</v>
      </c>
      <c r="N5" t="s">
        <v>25</v>
      </c>
      <c r="O5" s="6">
        <v>0.43055555555555558</v>
      </c>
      <c r="P5" t="s">
        <v>27</v>
      </c>
      <c r="Q5" t="s">
        <v>25</v>
      </c>
      <c r="R5" s="6">
        <v>0.44097222222222221</v>
      </c>
      <c r="S5" t="s">
        <v>27</v>
      </c>
      <c r="T5" t="s">
        <v>25</v>
      </c>
      <c r="U5" s="6">
        <v>0.44097222222222221</v>
      </c>
      <c r="V5" t="s">
        <v>27</v>
      </c>
      <c r="W5" t="s">
        <v>25</v>
      </c>
      <c r="X5" s="6">
        <v>0.43402777777777779</v>
      </c>
      <c r="Y5" t="s">
        <v>27</v>
      </c>
      <c r="Z5" t="s">
        <v>25</v>
      </c>
      <c r="AA5" s="6">
        <v>0.44097222222222221</v>
      </c>
    </row>
    <row r="6" spans="1:27" x14ac:dyDescent="0.1">
      <c r="B6" t="s">
        <v>89</v>
      </c>
      <c r="E6" t="s">
        <v>84</v>
      </c>
      <c r="H6" t="s">
        <v>89</v>
      </c>
      <c r="K6" t="s">
        <v>84</v>
      </c>
      <c r="N6" t="s">
        <v>84</v>
      </c>
      <c r="Q6" t="s">
        <v>89</v>
      </c>
      <c r="T6" t="s">
        <v>84</v>
      </c>
      <c r="W6" t="s">
        <v>89</v>
      </c>
      <c r="Z6" t="s">
        <v>84</v>
      </c>
    </row>
    <row r="7" spans="1:27" x14ac:dyDescent="0.1">
      <c r="A7" t="s">
        <v>30</v>
      </c>
      <c r="B7" t="s">
        <v>853</v>
      </c>
      <c r="C7" s="6">
        <v>0.46180555555555558</v>
      </c>
      <c r="D7" t="s">
        <v>30</v>
      </c>
      <c r="E7" t="s">
        <v>25</v>
      </c>
      <c r="F7" s="6">
        <v>0.46180555555555558</v>
      </c>
      <c r="G7" t="s">
        <v>30</v>
      </c>
      <c r="H7" t="s">
        <v>25</v>
      </c>
      <c r="I7" s="6">
        <v>0.46180555555555558</v>
      </c>
      <c r="J7" t="s">
        <v>30</v>
      </c>
      <c r="K7" t="s">
        <v>25</v>
      </c>
      <c r="L7" s="6">
        <v>0.46180555555555558</v>
      </c>
      <c r="M7" t="s">
        <v>30</v>
      </c>
      <c r="N7" t="s">
        <v>25</v>
      </c>
      <c r="O7" s="6">
        <v>0.4513888888888889</v>
      </c>
      <c r="P7" t="s">
        <v>30</v>
      </c>
      <c r="Q7" t="s">
        <v>853</v>
      </c>
      <c r="R7" s="6">
        <v>0.46180555555555558</v>
      </c>
      <c r="S7" t="s">
        <v>30</v>
      </c>
      <c r="T7" t="s">
        <v>25</v>
      </c>
      <c r="U7" s="6">
        <v>0.46180555555555558</v>
      </c>
      <c r="V7" t="s">
        <v>30</v>
      </c>
      <c r="W7" t="s">
        <v>853</v>
      </c>
      <c r="X7" s="6">
        <v>0.4548611111111111</v>
      </c>
      <c r="Y7" t="s">
        <v>30</v>
      </c>
      <c r="Z7" t="s">
        <v>25</v>
      </c>
      <c r="AA7" s="6">
        <v>0.46180555555555558</v>
      </c>
    </row>
    <row r="8" spans="1:27" x14ac:dyDescent="0.1">
      <c r="B8" t="s">
        <v>122</v>
      </c>
      <c r="E8" t="s">
        <v>89</v>
      </c>
      <c r="H8" t="s">
        <v>122</v>
      </c>
      <c r="K8" t="s">
        <v>89</v>
      </c>
      <c r="N8" t="s">
        <v>89</v>
      </c>
      <c r="Q8" t="s">
        <v>89</v>
      </c>
      <c r="T8" t="s">
        <v>89</v>
      </c>
      <c r="W8" t="s">
        <v>122</v>
      </c>
      <c r="Z8" t="s">
        <v>122</v>
      </c>
    </row>
    <row r="9" spans="1:27" x14ac:dyDescent="0.1">
      <c r="A9" t="s">
        <v>32</v>
      </c>
      <c r="B9" t="s">
        <v>25</v>
      </c>
      <c r="C9" s="6">
        <v>0.4826388888888889</v>
      </c>
      <c r="D9" t="s">
        <v>32</v>
      </c>
      <c r="E9" t="s">
        <v>247</v>
      </c>
      <c r="F9" s="6">
        <v>0.4826388888888889</v>
      </c>
      <c r="G9" t="s">
        <v>32</v>
      </c>
      <c r="H9" t="s">
        <v>853</v>
      </c>
      <c r="I9" s="6">
        <v>0.4826388888888889</v>
      </c>
      <c r="J9" t="s">
        <v>32</v>
      </c>
      <c r="K9" t="s">
        <v>246</v>
      </c>
      <c r="L9" s="6">
        <v>0.4826388888888889</v>
      </c>
      <c r="M9" t="s">
        <v>32</v>
      </c>
      <c r="N9" t="s">
        <v>257</v>
      </c>
      <c r="O9" s="6">
        <v>0.47222222222222221</v>
      </c>
      <c r="P9" t="s">
        <v>32</v>
      </c>
      <c r="Q9" t="s">
        <v>257</v>
      </c>
      <c r="R9" s="6">
        <v>0.4826388888888889</v>
      </c>
      <c r="S9" t="s">
        <v>32</v>
      </c>
      <c r="T9" t="s">
        <v>257</v>
      </c>
      <c r="U9" s="6">
        <v>0.4826388888888889</v>
      </c>
      <c r="V9" t="s">
        <v>32</v>
      </c>
      <c r="W9" t="s">
        <v>25</v>
      </c>
      <c r="X9" s="6">
        <v>0.47569444444444442</v>
      </c>
      <c r="Y9" t="s">
        <v>32</v>
      </c>
      <c r="Z9" t="s">
        <v>853</v>
      </c>
      <c r="AA9" s="6">
        <v>0.4826388888888889</v>
      </c>
    </row>
    <row r="10" spans="1:27" x14ac:dyDescent="0.1">
      <c r="B10" t="s">
        <v>89</v>
      </c>
      <c r="E10" t="s">
        <v>125</v>
      </c>
      <c r="H10" t="s">
        <v>84</v>
      </c>
      <c r="K10" t="s">
        <v>122</v>
      </c>
      <c r="N10" t="s">
        <v>258</v>
      </c>
      <c r="Q10" t="s">
        <v>258</v>
      </c>
      <c r="T10" t="s">
        <v>258</v>
      </c>
      <c r="W10" t="s">
        <v>89</v>
      </c>
      <c r="Z10" t="s">
        <v>89</v>
      </c>
    </row>
    <row r="11" spans="1:27" x14ac:dyDescent="0.1">
      <c r="A11" t="s">
        <v>34</v>
      </c>
      <c r="B11" t="s">
        <v>25</v>
      </c>
      <c r="C11" s="6">
        <v>0.51736111111111116</v>
      </c>
      <c r="D11" t="s">
        <v>34</v>
      </c>
      <c r="E11" t="s">
        <v>853</v>
      </c>
      <c r="F11" s="6">
        <v>0.51736111111111116</v>
      </c>
      <c r="G11" t="s">
        <v>34</v>
      </c>
      <c r="H11" t="s">
        <v>853</v>
      </c>
      <c r="I11" s="6">
        <v>0.51736111111111116</v>
      </c>
      <c r="J11" t="s">
        <v>34</v>
      </c>
      <c r="K11" t="s">
        <v>853</v>
      </c>
      <c r="L11" s="6">
        <v>0.51736111111111116</v>
      </c>
      <c r="M11" t="s">
        <v>34</v>
      </c>
      <c r="N11" t="s">
        <v>853</v>
      </c>
      <c r="O11" s="6">
        <v>0.50694444444444442</v>
      </c>
      <c r="P11" t="s">
        <v>34</v>
      </c>
      <c r="Q11" t="s">
        <v>25</v>
      </c>
      <c r="R11" s="6">
        <v>0.51736111111111116</v>
      </c>
      <c r="S11" t="s">
        <v>34</v>
      </c>
      <c r="T11" t="s">
        <v>853</v>
      </c>
      <c r="U11" s="6">
        <v>0.51736111111111116</v>
      </c>
      <c r="V11" t="s">
        <v>34</v>
      </c>
      <c r="W11" t="s">
        <v>25</v>
      </c>
      <c r="X11" s="6">
        <v>0.51041666666666663</v>
      </c>
      <c r="Y11" t="s">
        <v>34</v>
      </c>
      <c r="Z11" t="s">
        <v>853</v>
      </c>
      <c r="AA11" s="6">
        <v>0.51736111111111116</v>
      </c>
    </row>
    <row r="12" spans="1:27" x14ac:dyDescent="0.1">
      <c r="B12" t="s">
        <v>117</v>
      </c>
      <c r="E12" t="s">
        <v>117</v>
      </c>
      <c r="H12" t="s">
        <v>29</v>
      </c>
      <c r="K12" t="s">
        <v>89</v>
      </c>
      <c r="N12" t="s">
        <v>122</v>
      </c>
      <c r="Q12" t="s">
        <v>29</v>
      </c>
      <c r="T12" t="s">
        <v>117</v>
      </c>
      <c r="W12" t="s">
        <v>259</v>
      </c>
      <c r="Z12" t="s">
        <v>29</v>
      </c>
    </row>
    <row r="13" spans="1:27" x14ac:dyDescent="0.1">
      <c r="A13" t="s">
        <v>35</v>
      </c>
      <c r="B13" t="s">
        <v>853</v>
      </c>
      <c r="C13" s="6">
        <v>0.53819444444444442</v>
      </c>
      <c r="D13" t="s">
        <v>35</v>
      </c>
      <c r="E13" t="s">
        <v>25</v>
      </c>
      <c r="F13" s="6">
        <v>0.53819444444444442</v>
      </c>
      <c r="G13" t="s">
        <v>35</v>
      </c>
      <c r="H13" t="s">
        <v>247</v>
      </c>
      <c r="I13" s="6">
        <v>0.53819444444444442</v>
      </c>
      <c r="J13" t="s">
        <v>35</v>
      </c>
      <c r="K13" t="s">
        <v>25</v>
      </c>
      <c r="L13" s="6">
        <v>0.53819444444444442</v>
      </c>
      <c r="M13" t="s">
        <v>35</v>
      </c>
      <c r="N13" t="s">
        <v>25</v>
      </c>
      <c r="O13" s="6">
        <v>0.52777777777777779</v>
      </c>
      <c r="P13" t="s">
        <v>35</v>
      </c>
      <c r="Q13" t="s">
        <v>247</v>
      </c>
      <c r="R13" s="6">
        <v>0.53819444444444442</v>
      </c>
      <c r="S13" t="s">
        <v>35</v>
      </c>
      <c r="T13" t="s">
        <v>247</v>
      </c>
      <c r="U13" s="6">
        <v>0.53819444444444442</v>
      </c>
      <c r="V13" t="s">
        <v>35</v>
      </c>
      <c r="W13" t="s">
        <v>246</v>
      </c>
      <c r="X13" s="6">
        <v>0.53472222222222221</v>
      </c>
      <c r="Y13" t="s">
        <v>35</v>
      </c>
      <c r="Z13" t="s">
        <v>247</v>
      </c>
      <c r="AA13" s="6">
        <v>0.53819444444444442</v>
      </c>
    </row>
    <row r="14" spans="1:27" x14ac:dyDescent="0.1">
      <c r="B14" t="s">
        <v>29</v>
      </c>
      <c r="E14" t="s">
        <v>29</v>
      </c>
      <c r="H14" t="s">
        <v>78</v>
      </c>
      <c r="K14" t="s">
        <v>259</v>
      </c>
      <c r="N14" t="s">
        <v>29</v>
      </c>
      <c r="Q14" t="s">
        <v>85</v>
      </c>
      <c r="T14" t="s">
        <v>78</v>
      </c>
      <c r="W14" t="s">
        <v>89</v>
      </c>
      <c r="Z14" t="s">
        <v>78</v>
      </c>
    </row>
    <row r="15" spans="1:27" x14ac:dyDescent="0.1">
      <c r="A15" t="s">
        <v>38</v>
      </c>
      <c r="B15" t="s">
        <v>247</v>
      </c>
      <c r="C15" s="6">
        <v>0.55902777777777779</v>
      </c>
      <c r="D15" t="s">
        <v>38</v>
      </c>
      <c r="E15" t="s">
        <v>246</v>
      </c>
      <c r="F15" s="6">
        <v>0.55902777777777779</v>
      </c>
      <c r="G15" t="s">
        <v>38</v>
      </c>
      <c r="H15" t="s">
        <v>25</v>
      </c>
      <c r="I15" s="6">
        <v>0.55902777777777779</v>
      </c>
      <c r="J15" t="s">
        <v>38</v>
      </c>
      <c r="K15" t="s">
        <v>247</v>
      </c>
      <c r="L15" s="6">
        <v>0.55902777777777779</v>
      </c>
      <c r="M15" t="s">
        <v>38</v>
      </c>
      <c r="N15" t="s">
        <v>247</v>
      </c>
      <c r="O15" s="6">
        <v>0.54861111111111116</v>
      </c>
      <c r="P15" t="s">
        <v>38</v>
      </c>
      <c r="Q15" t="s">
        <v>247</v>
      </c>
      <c r="R15" s="6">
        <v>0.55902777777777779</v>
      </c>
      <c r="S15" t="s">
        <v>38</v>
      </c>
      <c r="T15" t="s">
        <v>254</v>
      </c>
      <c r="U15" s="6">
        <v>0.55902777777777779</v>
      </c>
      <c r="V15" t="s">
        <v>38</v>
      </c>
      <c r="W15" t="s">
        <v>247</v>
      </c>
      <c r="X15" s="6">
        <v>0.55555555555555558</v>
      </c>
      <c r="Y15" t="s">
        <v>38</v>
      </c>
      <c r="Z15" t="s">
        <v>254</v>
      </c>
      <c r="AA15" s="6">
        <v>0.55902777777777779</v>
      </c>
    </row>
    <row r="16" spans="1:27" x14ac:dyDescent="0.1">
      <c r="B16" t="s">
        <v>78</v>
      </c>
      <c r="E16" t="s">
        <v>29</v>
      </c>
      <c r="H16" t="s">
        <v>117</v>
      </c>
      <c r="K16" t="s">
        <v>78</v>
      </c>
      <c r="N16" t="s">
        <v>113</v>
      </c>
      <c r="Q16" t="s">
        <v>505</v>
      </c>
      <c r="T16" t="s">
        <v>505</v>
      </c>
      <c r="W16" t="s">
        <v>85</v>
      </c>
      <c r="Z16" t="s">
        <v>171</v>
      </c>
    </row>
    <row r="17" spans="1:27" x14ac:dyDescent="0.1">
      <c r="A17" t="s">
        <v>40</v>
      </c>
      <c r="B17" t="s">
        <v>247</v>
      </c>
      <c r="C17" s="6">
        <v>0.57986111111111116</v>
      </c>
      <c r="D17" t="s">
        <v>40</v>
      </c>
      <c r="E17" t="s">
        <v>864</v>
      </c>
      <c r="F17" s="6">
        <v>0.58333333333333337</v>
      </c>
      <c r="G17" t="s">
        <v>40</v>
      </c>
      <c r="H17" t="s">
        <v>254</v>
      </c>
      <c r="I17" s="6">
        <v>0.58333333333333337</v>
      </c>
      <c r="J17" t="s">
        <v>40</v>
      </c>
      <c r="K17" t="s">
        <v>247</v>
      </c>
      <c r="L17" s="6">
        <v>0.57986111111111116</v>
      </c>
      <c r="M17" t="s">
        <v>40</v>
      </c>
      <c r="N17" t="s">
        <v>246</v>
      </c>
      <c r="O17" s="6">
        <v>0.56944444444444442</v>
      </c>
      <c r="P17" t="s">
        <v>40</v>
      </c>
      <c r="Q17" t="s">
        <v>254</v>
      </c>
      <c r="R17" s="6">
        <v>0.57986111111111116</v>
      </c>
      <c r="S17" t="s">
        <v>40</v>
      </c>
      <c r="T17" t="s">
        <v>254</v>
      </c>
      <c r="U17" s="6">
        <v>0.57986111111111116</v>
      </c>
      <c r="V17" t="s">
        <v>40</v>
      </c>
      <c r="W17" t="s">
        <v>247</v>
      </c>
      <c r="X17" s="6">
        <v>0.57638888888888884</v>
      </c>
      <c r="Y17" t="s">
        <v>40</v>
      </c>
      <c r="Z17" t="s">
        <v>254</v>
      </c>
      <c r="AA17" s="6">
        <v>0.57986111111111116</v>
      </c>
    </row>
    <row r="18" spans="1:27" x14ac:dyDescent="0.1">
      <c r="B18" t="s">
        <v>255</v>
      </c>
      <c r="E18" t="s">
        <v>244</v>
      </c>
      <c r="H18" t="s">
        <v>78</v>
      </c>
      <c r="K18" t="s">
        <v>171</v>
      </c>
      <c r="N18" t="s">
        <v>359</v>
      </c>
      <c r="Q18" t="s">
        <v>85</v>
      </c>
      <c r="T18" t="s">
        <v>113</v>
      </c>
      <c r="W18" t="s">
        <v>113</v>
      </c>
      <c r="Z18" t="s">
        <v>85</v>
      </c>
    </row>
    <row r="19" spans="1:27" x14ac:dyDescent="0.1">
      <c r="A19" t="s">
        <v>42</v>
      </c>
      <c r="B19" t="s">
        <v>854</v>
      </c>
      <c r="C19" s="6">
        <v>0.60416666666666663</v>
      </c>
      <c r="E19" t="s">
        <v>245</v>
      </c>
      <c r="G19" t="s">
        <v>42</v>
      </c>
      <c r="H19" t="s">
        <v>874</v>
      </c>
      <c r="I19" s="6">
        <v>0.60763888888888884</v>
      </c>
      <c r="J19" t="s">
        <v>42</v>
      </c>
      <c r="K19" t="s">
        <v>883</v>
      </c>
      <c r="L19" s="6">
        <v>0.60416666666666663</v>
      </c>
      <c r="M19" t="s">
        <v>42</v>
      </c>
      <c r="N19" t="s">
        <v>891</v>
      </c>
      <c r="O19" s="6">
        <v>0.59375</v>
      </c>
      <c r="P19" t="s">
        <v>42</v>
      </c>
      <c r="Q19" t="s">
        <v>900</v>
      </c>
      <c r="R19" s="6">
        <v>0.60416666666666663</v>
      </c>
      <c r="S19" t="s">
        <v>42</v>
      </c>
      <c r="T19" t="s">
        <v>909</v>
      </c>
      <c r="U19" s="6">
        <v>0.60416666666666663</v>
      </c>
      <c r="V19" t="s">
        <v>42</v>
      </c>
      <c r="W19" t="s">
        <v>917</v>
      </c>
      <c r="X19" s="6">
        <v>0.59722222222222221</v>
      </c>
      <c r="Y19" t="s">
        <v>42</v>
      </c>
      <c r="Z19" t="s">
        <v>930</v>
      </c>
      <c r="AA19" s="6">
        <v>0.60069444444444442</v>
      </c>
    </row>
    <row r="20" spans="1:27" x14ac:dyDescent="0.1">
      <c r="B20" t="s">
        <v>250</v>
      </c>
      <c r="D20" t="s">
        <v>42</v>
      </c>
      <c r="E20" t="s">
        <v>865</v>
      </c>
      <c r="F20" s="6">
        <v>0.60763888888888884</v>
      </c>
      <c r="H20" t="s">
        <v>246</v>
      </c>
      <c r="K20" t="s">
        <v>254</v>
      </c>
      <c r="N20" t="s">
        <v>254</v>
      </c>
      <c r="Q20" t="s">
        <v>246</v>
      </c>
      <c r="T20" t="s">
        <v>250</v>
      </c>
      <c r="W20" t="s">
        <v>254</v>
      </c>
      <c r="Z20" t="s">
        <v>246</v>
      </c>
    </row>
    <row r="21" spans="1:27" x14ac:dyDescent="0.1">
      <c r="B21" t="s">
        <v>78</v>
      </c>
      <c r="E21" t="s">
        <v>254</v>
      </c>
      <c r="H21" t="s">
        <v>89</v>
      </c>
      <c r="K21" t="s">
        <v>58</v>
      </c>
      <c r="N21" t="s">
        <v>125</v>
      </c>
      <c r="Q21" t="s">
        <v>142</v>
      </c>
      <c r="T21" t="s">
        <v>171</v>
      </c>
      <c r="W21" t="s">
        <v>48</v>
      </c>
      <c r="Z21" t="s">
        <v>65</v>
      </c>
    </row>
    <row r="22" spans="1:27" x14ac:dyDescent="0.1">
      <c r="A22" t="s">
        <v>46</v>
      </c>
      <c r="B22" t="s">
        <v>855</v>
      </c>
      <c r="C22" s="6">
        <v>0.62847222222222221</v>
      </c>
      <c r="E22" t="s">
        <v>78</v>
      </c>
      <c r="G22" t="s">
        <v>46</v>
      </c>
      <c r="H22" t="s">
        <v>875</v>
      </c>
      <c r="I22" s="6">
        <v>0.63194444444444442</v>
      </c>
      <c r="J22" t="s">
        <v>46</v>
      </c>
      <c r="K22" t="s">
        <v>884</v>
      </c>
      <c r="L22" s="6">
        <v>0.62847222222222221</v>
      </c>
      <c r="M22" t="s">
        <v>46</v>
      </c>
      <c r="N22" t="s">
        <v>892</v>
      </c>
      <c r="O22" s="6">
        <v>0.61805555555555558</v>
      </c>
      <c r="P22" t="s">
        <v>46</v>
      </c>
      <c r="Q22" t="s">
        <v>901</v>
      </c>
      <c r="R22" s="6">
        <v>0.62847222222222221</v>
      </c>
      <c r="S22" t="s">
        <v>46</v>
      </c>
      <c r="T22" t="s">
        <v>910</v>
      </c>
      <c r="U22" s="6">
        <v>0.62847222222222221</v>
      </c>
      <c r="V22" t="s">
        <v>46</v>
      </c>
      <c r="W22" t="s">
        <v>918</v>
      </c>
      <c r="X22" s="6">
        <v>0.62152777777777779</v>
      </c>
      <c r="Y22" t="s">
        <v>46</v>
      </c>
      <c r="Z22" t="s">
        <v>931</v>
      </c>
      <c r="AA22" s="6">
        <v>0.625</v>
      </c>
    </row>
    <row r="23" spans="1:27" x14ac:dyDescent="0.1">
      <c r="B23" t="s">
        <v>225</v>
      </c>
      <c r="D23" t="s">
        <v>46</v>
      </c>
      <c r="E23" t="s">
        <v>866</v>
      </c>
      <c r="F23" s="6">
        <v>0.63194444444444442</v>
      </c>
      <c r="H23" t="s">
        <v>254</v>
      </c>
      <c r="K23" t="s">
        <v>264</v>
      </c>
      <c r="N23" t="s">
        <v>250</v>
      </c>
      <c r="Q23" t="s">
        <v>250</v>
      </c>
      <c r="T23" t="s">
        <v>264</v>
      </c>
      <c r="W23" t="s">
        <v>254</v>
      </c>
      <c r="Z23" t="s">
        <v>250</v>
      </c>
    </row>
    <row r="24" spans="1:27" x14ac:dyDescent="0.1">
      <c r="B24" t="s">
        <v>342</v>
      </c>
      <c r="E24" t="s">
        <v>254</v>
      </c>
      <c r="H24" t="s">
        <v>171</v>
      </c>
      <c r="K24" t="s">
        <v>312</v>
      </c>
      <c r="N24" t="s">
        <v>188</v>
      </c>
      <c r="Q24" t="s">
        <v>138</v>
      </c>
      <c r="T24" t="s">
        <v>391</v>
      </c>
      <c r="W24" t="s">
        <v>78</v>
      </c>
      <c r="Z24" t="s">
        <v>85</v>
      </c>
    </row>
    <row r="25" spans="1:27" x14ac:dyDescent="0.1">
      <c r="A25" s="42" t="s">
        <v>49</v>
      </c>
      <c r="B25" s="42" t="s">
        <v>856</v>
      </c>
      <c r="C25" s="43">
        <v>0.65625</v>
      </c>
      <c r="E25" t="s">
        <v>60</v>
      </c>
      <c r="G25" t="s">
        <v>49</v>
      </c>
      <c r="H25" t="s">
        <v>876</v>
      </c>
      <c r="I25" s="6">
        <v>0.65625</v>
      </c>
      <c r="J25" t="s">
        <v>49</v>
      </c>
      <c r="K25" t="s">
        <v>885</v>
      </c>
      <c r="L25" s="6">
        <v>0.65625</v>
      </c>
      <c r="M25" t="s">
        <v>49</v>
      </c>
      <c r="N25" t="s">
        <v>893</v>
      </c>
      <c r="O25" s="6">
        <v>0.64583333333333337</v>
      </c>
      <c r="P25" t="s">
        <v>49</v>
      </c>
      <c r="Q25" t="s">
        <v>902</v>
      </c>
      <c r="R25" s="6">
        <v>0.65625</v>
      </c>
      <c r="S25" t="s">
        <v>49</v>
      </c>
      <c r="T25" t="s">
        <v>911</v>
      </c>
      <c r="U25" s="6">
        <v>0.65625</v>
      </c>
      <c r="V25" t="s">
        <v>49</v>
      </c>
      <c r="W25" t="s">
        <v>919</v>
      </c>
      <c r="X25" s="6">
        <v>0.64583333333333337</v>
      </c>
      <c r="Y25" t="s">
        <v>49</v>
      </c>
      <c r="Z25" t="s">
        <v>932</v>
      </c>
      <c r="AA25" s="6">
        <v>0.65625</v>
      </c>
    </row>
    <row r="26" spans="1:27" x14ac:dyDescent="0.1">
      <c r="A26" s="42"/>
      <c r="B26" s="42" t="s">
        <v>857</v>
      </c>
      <c r="C26" s="42"/>
      <c r="D26" t="s">
        <v>49</v>
      </c>
      <c r="E26" t="s">
        <v>867</v>
      </c>
      <c r="F26" s="6">
        <v>0.65625</v>
      </c>
      <c r="H26" t="s">
        <v>250</v>
      </c>
      <c r="K26" t="s">
        <v>225</v>
      </c>
      <c r="N26" t="s">
        <v>264</v>
      </c>
      <c r="Q26" t="s">
        <v>264</v>
      </c>
      <c r="T26" t="s">
        <v>225</v>
      </c>
      <c r="W26" t="s">
        <v>250</v>
      </c>
      <c r="Z26" t="s">
        <v>264</v>
      </c>
    </row>
    <row r="27" spans="1:27" x14ac:dyDescent="0.1">
      <c r="A27" s="42"/>
      <c r="B27" s="42" t="s">
        <v>264</v>
      </c>
      <c r="C27" s="42"/>
      <c r="E27" t="s">
        <v>250</v>
      </c>
      <c r="H27" t="s">
        <v>505</v>
      </c>
      <c r="K27" t="s">
        <v>142</v>
      </c>
      <c r="N27" t="s">
        <v>342</v>
      </c>
      <c r="Q27" t="s">
        <v>265</v>
      </c>
      <c r="T27" t="s">
        <v>29</v>
      </c>
      <c r="W27" t="s">
        <v>203</v>
      </c>
      <c r="Z27" t="s">
        <v>933</v>
      </c>
    </row>
    <row r="28" spans="1:27" x14ac:dyDescent="0.1">
      <c r="A28" s="42"/>
      <c r="B28" s="42" t="s">
        <v>203</v>
      </c>
      <c r="C28" s="42"/>
      <c r="E28" t="s">
        <v>265</v>
      </c>
      <c r="G28" t="s">
        <v>53</v>
      </c>
      <c r="H28" t="s">
        <v>247</v>
      </c>
      <c r="I28" s="6">
        <v>0.68402777777777779</v>
      </c>
      <c r="J28" t="s">
        <v>53</v>
      </c>
      <c r="K28" t="s">
        <v>254</v>
      </c>
      <c r="L28" s="6">
        <v>0.68402777777777779</v>
      </c>
      <c r="M28" t="s">
        <v>53</v>
      </c>
      <c r="N28" t="s">
        <v>247</v>
      </c>
      <c r="O28" s="6">
        <v>0.67361111111111116</v>
      </c>
      <c r="P28" t="s">
        <v>53</v>
      </c>
      <c r="Q28" t="s">
        <v>254</v>
      </c>
      <c r="R28" s="6">
        <v>0.68402777777777779</v>
      </c>
      <c r="S28" t="s">
        <v>53</v>
      </c>
      <c r="T28" t="s">
        <v>25</v>
      </c>
      <c r="U28" s="6">
        <v>0.68402777777777779</v>
      </c>
      <c r="V28" t="s">
        <v>53</v>
      </c>
      <c r="W28" t="s">
        <v>247</v>
      </c>
      <c r="X28" s="6">
        <v>0.67361111111111116</v>
      </c>
      <c r="Y28" t="s">
        <v>53</v>
      </c>
      <c r="Z28" t="s">
        <v>25</v>
      </c>
      <c r="AA28" s="6">
        <v>0.68402777777777779</v>
      </c>
    </row>
    <row r="29" spans="1:27" x14ac:dyDescent="0.1">
      <c r="A29" t="s">
        <v>53</v>
      </c>
      <c r="B29" t="s">
        <v>254</v>
      </c>
      <c r="C29" s="6">
        <v>0.68402777777777779</v>
      </c>
      <c r="D29" t="s">
        <v>53</v>
      </c>
      <c r="E29" t="s">
        <v>247</v>
      </c>
      <c r="F29" s="6">
        <v>0.68402777777777779</v>
      </c>
      <c r="H29" t="s">
        <v>85</v>
      </c>
      <c r="K29" t="s">
        <v>85</v>
      </c>
      <c r="N29" t="s">
        <v>60</v>
      </c>
      <c r="Q29" t="s">
        <v>334</v>
      </c>
      <c r="T29" t="s">
        <v>142</v>
      </c>
      <c r="W29" t="s">
        <v>171</v>
      </c>
      <c r="Z29" t="s">
        <v>117</v>
      </c>
    </row>
    <row r="30" spans="1:27" x14ac:dyDescent="0.1">
      <c r="B30" t="s">
        <v>85</v>
      </c>
      <c r="E30" t="s">
        <v>85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7731-57AE-4E43-BC31-EFB93769B3BE}">
  <sheetPr codeName="Sheet5"/>
  <dimension ref="A1:AA30"/>
  <sheetViews>
    <sheetView workbookViewId="0"/>
  </sheetViews>
  <sheetFormatPr defaultRowHeight="13.5" x14ac:dyDescent="0.1"/>
  <cols>
    <col min="1" max="1" width="11.1796875" bestFit="1" customWidth="1"/>
    <col min="2" max="2" width="25.08984375" bestFit="1" customWidth="1"/>
    <col min="3" max="3" width="9.26953125" bestFit="1" customWidth="1"/>
    <col min="4" max="4" width="11.1796875" bestFit="1" customWidth="1"/>
    <col min="5" max="5" width="18.81640625" bestFit="1" customWidth="1"/>
    <col min="6" max="6" width="9.26953125" bestFit="1" customWidth="1"/>
    <col min="7" max="7" width="11.1796875" bestFit="1" customWidth="1"/>
    <col min="8" max="8" width="24.1328125" bestFit="1" customWidth="1"/>
    <col min="9" max="9" width="9.26953125" bestFit="1" customWidth="1"/>
    <col min="10" max="10" width="11.1796875" bestFit="1" customWidth="1"/>
    <col min="11" max="11" width="22.2265625" bestFit="1" customWidth="1"/>
    <col min="12" max="12" width="9.26953125" bestFit="1" customWidth="1"/>
    <col min="13" max="13" width="11.1796875" bestFit="1" customWidth="1"/>
    <col min="14" max="14" width="22.2265625" bestFit="1" customWidth="1"/>
    <col min="15" max="15" width="9.26953125" bestFit="1" customWidth="1"/>
    <col min="16" max="16" width="11.1796875" bestFit="1" customWidth="1"/>
    <col min="17" max="17" width="21.26953125" bestFit="1" customWidth="1"/>
    <col min="18" max="18" width="9.26953125" bestFit="1" customWidth="1"/>
    <col min="19" max="19" width="11.1796875" bestFit="1" customWidth="1"/>
    <col min="20" max="20" width="24.26953125" bestFit="1" customWidth="1"/>
    <col min="21" max="21" width="9.26953125" bestFit="1" customWidth="1"/>
    <col min="22" max="22" width="11.1796875" bestFit="1" customWidth="1"/>
    <col min="23" max="23" width="18.1328125" bestFit="1" customWidth="1"/>
    <col min="24" max="24" width="9.26953125" bestFit="1" customWidth="1"/>
    <col min="25" max="25" width="11.1796875" bestFit="1" customWidth="1"/>
    <col min="26" max="26" width="32.7265625" bestFit="1" customWidth="1"/>
    <col min="27" max="27" width="9.26953125" bestFit="1" customWidth="1"/>
  </cols>
  <sheetData>
    <row r="1" spans="1:27" x14ac:dyDescent="0.1">
      <c r="A1" t="s">
        <v>858</v>
      </c>
      <c r="D1" t="s">
        <v>868</v>
      </c>
      <c r="G1" t="s">
        <v>877</v>
      </c>
      <c r="J1" t="s">
        <v>886</v>
      </c>
      <c r="M1" t="s">
        <v>894</v>
      </c>
      <c r="P1" t="s">
        <v>903</v>
      </c>
      <c r="S1" t="s">
        <v>912</v>
      </c>
      <c r="V1" t="s">
        <v>920</v>
      </c>
      <c r="Y1" t="s">
        <v>934</v>
      </c>
    </row>
    <row r="2" spans="1:27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</row>
    <row r="3" spans="1:27" x14ac:dyDescent="0.1">
      <c r="A3" t="s">
        <v>24</v>
      </c>
      <c r="B3" t="s">
        <v>25</v>
      </c>
      <c r="C3" s="6">
        <v>0.40972222222222221</v>
      </c>
      <c r="D3" t="s">
        <v>24</v>
      </c>
      <c r="E3" t="s">
        <v>25</v>
      </c>
      <c r="F3" s="6">
        <v>0.40972222222222221</v>
      </c>
      <c r="G3" t="s">
        <v>24</v>
      </c>
      <c r="H3" t="s">
        <v>25</v>
      </c>
      <c r="I3" s="6">
        <v>0.40972222222222221</v>
      </c>
      <c r="J3" t="s">
        <v>24</v>
      </c>
      <c r="K3" t="s">
        <v>25</v>
      </c>
      <c r="L3" s="6">
        <v>0.40972222222222221</v>
      </c>
      <c r="M3" t="s">
        <v>24</v>
      </c>
      <c r="N3" t="s">
        <v>25</v>
      </c>
      <c r="O3" s="6">
        <v>0.4201388888888889</v>
      </c>
      <c r="P3" t="s">
        <v>24</v>
      </c>
      <c r="Q3" t="s">
        <v>25</v>
      </c>
      <c r="R3" s="6">
        <v>0.40972222222222221</v>
      </c>
      <c r="S3" t="s">
        <v>24</v>
      </c>
      <c r="T3" t="s">
        <v>25</v>
      </c>
      <c r="U3" s="6">
        <v>0.40972222222222221</v>
      </c>
      <c r="V3" t="s">
        <v>24</v>
      </c>
      <c r="W3" t="s">
        <v>25</v>
      </c>
      <c r="X3" s="6">
        <v>0.40625</v>
      </c>
      <c r="Y3" t="s">
        <v>24</v>
      </c>
      <c r="Z3" t="s">
        <v>25</v>
      </c>
      <c r="AA3" s="6">
        <v>0.41319444444444442</v>
      </c>
    </row>
    <row r="4" spans="1:27" x14ac:dyDescent="0.1">
      <c r="B4" t="s">
        <v>122</v>
      </c>
      <c r="E4" t="s">
        <v>84</v>
      </c>
      <c r="H4" t="s">
        <v>84</v>
      </c>
      <c r="K4" t="s">
        <v>89</v>
      </c>
      <c r="N4" t="s">
        <v>122</v>
      </c>
      <c r="Q4" t="s">
        <v>89</v>
      </c>
      <c r="T4" t="s">
        <v>222</v>
      </c>
      <c r="W4" t="s">
        <v>84</v>
      </c>
      <c r="Z4" t="s">
        <v>89</v>
      </c>
    </row>
    <row r="5" spans="1:27" x14ac:dyDescent="0.1">
      <c r="A5" t="s">
        <v>27</v>
      </c>
      <c r="B5" t="s">
        <v>25</v>
      </c>
      <c r="C5" s="6">
        <v>0.43055555555555558</v>
      </c>
      <c r="D5" t="s">
        <v>27</v>
      </c>
      <c r="E5" t="s">
        <v>25</v>
      </c>
      <c r="F5" s="6">
        <v>0.43055555555555558</v>
      </c>
      <c r="G5" t="s">
        <v>27</v>
      </c>
      <c r="H5" t="s">
        <v>25</v>
      </c>
      <c r="I5" s="6">
        <v>0.43055555555555558</v>
      </c>
      <c r="J5" t="s">
        <v>27</v>
      </c>
      <c r="K5" t="s">
        <v>853</v>
      </c>
      <c r="L5" s="6">
        <v>0.43055555555555558</v>
      </c>
      <c r="M5" t="s">
        <v>27</v>
      </c>
      <c r="N5" t="s">
        <v>25</v>
      </c>
      <c r="O5" s="6">
        <v>0.44097222222222221</v>
      </c>
      <c r="P5" t="s">
        <v>27</v>
      </c>
      <c r="Q5" t="s">
        <v>25</v>
      </c>
      <c r="R5" s="6">
        <v>0.43055555555555558</v>
      </c>
      <c r="S5" t="s">
        <v>27</v>
      </c>
      <c r="T5" t="s">
        <v>25</v>
      </c>
      <c r="U5" s="6">
        <v>0.43055555555555558</v>
      </c>
      <c r="V5" t="s">
        <v>27</v>
      </c>
      <c r="W5" t="s">
        <v>25</v>
      </c>
      <c r="X5" s="6">
        <v>0.42708333333333331</v>
      </c>
      <c r="Y5" t="s">
        <v>27</v>
      </c>
      <c r="Z5" t="s">
        <v>25</v>
      </c>
      <c r="AA5" s="6">
        <v>0.43402777777777779</v>
      </c>
    </row>
    <row r="6" spans="1:27" x14ac:dyDescent="0.1">
      <c r="B6" t="s">
        <v>89</v>
      </c>
      <c r="E6" t="s">
        <v>134</v>
      </c>
      <c r="H6" t="s">
        <v>134</v>
      </c>
      <c r="K6" t="s">
        <v>84</v>
      </c>
      <c r="N6" t="s">
        <v>89</v>
      </c>
      <c r="Q6" t="s">
        <v>122</v>
      </c>
      <c r="T6" t="s">
        <v>89</v>
      </c>
      <c r="W6" t="s">
        <v>122</v>
      </c>
      <c r="Z6" t="s">
        <v>134</v>
      </c>
    </row>
    <row r="7" spans="1:27" x14ac:dyDescent="0.1">
      <c r="A7" t="s">
        <v>30</v>
      </c>
      <c r="B7" t="s">
        <v>25</v>
      </c>
      <c r="C7" s="6">
        <v>0.4513888888888889</v>
      </c>
      <c r="D7" t="s">
        <v>30</v>
      </c>
      <c r="E7" t="s">
        <v>853</v>
      </c>
      <c r="F7" s="6">
        <v>0.4513888888888889</v>
      </c>
      <c r="G7" t="s">
        <v>30</v>
      </c>
      <c r="H7" t="s">
        <v>853</v>
      </c>
      <c r="I7" s="6">
        <v>0.4513888888888889</v>
      </c>
      <c r="J7" t="s">
        <v>30</v>
      </c>
      <c r="K7" t="s">
        <v>25</v>
      </c>
      <c r="L7" s="6">
        <v>0.4513888888888889</v>
      </c>
      <c r="M7" t="s">
        <v>30</v>
      </c>
      <c r="N7" t="s">
        <v>25</v>
      </c>
      <c r="O7" s="6">
        <v>0.46180555555555558</v>
      </c>
      <c r="P7" t="s">
        <v>30</v>
      </c>
      <c r="Q7" t="s">
        <v>25</v>
      </c>
      <c r="R7" s="6">
        <v>0.4513888888888889</v>
      </c>
      <c r="S7" t="s">
        <v>30</v>
      </c>
      <c r="T7" t="s">
        <v>25</v>
      </c>
      <c r="U7" s="6">
        <v>0.4513888888888889</v>
      </c>
      <c r="V7" t="s">
        <v>30</v>
      </c>
      <c r="W7" t="s">
        <v>853</v>
      </c>
      <c r="X7" s="6">
        <v>0.44791666666666669</v>
      </c>
      <c r="Y7" t="s">
        <v>30</v>
      </c>
      <c r="Z7" t="s">
        <v>25</v>
      </c>
      <c r="AA7" s="6">
        <v>0.4548611111111111</v>
      </c>
    </row>
    <row r="8" spans="1:27" x14ac:dyDescent="0.1">
      <c r="B8" t="s">
        <v>77</v>
      </c>
      <c r="E8" t="s">
        <v>122</v>
      </c>
      <c r="H8" t="s">
        <v>77</v>
      </c>
      <c r="K8" t="s">
        <v>77</v>
      </c>
      <c r="N8" t="s">
        <v>158</v>
      </c>
      <c r="Q8" t="s">
        <v>134</v>
      </c>
      <c r="T8" t="s">
        <v>77</v>
      </c>
      <c r="W8" t="s">
        <v>89</v>
      </c>
      <c r="Z8" t="s">
        <v>158</v>
      </c>
    </row>
    <row r="9" spans="1:27" x14ac:dyDescent="0.1">
      <c r="A9" t="s">
        <v>32</v>
      </c>
      <c r="B9" t="s">
        <v>853</v>
      </c>
      <c r="C9" s="6">
        <v>0.47222222222222221</v>
      </c>
      <c r="D9" t="s">
        <v>32</v>
      </c>
      <c r="E9" t="s">
        <v>246</v>
      </c>
      <c r="F9" s="6">
        <v>0.47222222222222221</v>
      </c>
      <c r="G9" t="s">
        <v>32</v>
      </c>
      <c r="H9" t="s">
        <v>246</v>
      </c>
      <c r="I9" s="6">
        <v>0.47222222222222221</v>
      </c>
      <c r="J9" t="s">
        <v>32</v>
      </c>
      <c r="K9" t="s">
        <v>257</v>
      </c>
      <c r="L9" s="6">
        <v>0.47222222222222221</v>
      </c>
      <c r="M9" t="s">
        <v>32</v>
      </c>
      <c r="N9" t="s">
        <v>853</v>
      </c>
      <c r="O9" s="6">
        <v>0.4826388888888889</v>
      </c>
      <c r="P9" t="s">
        <v>32</v>
      </c>
      <c r="Q9" t="s">
        <v>853</v>
      </c>
      <c r="R9" s="6">
        <v>0.47222222222222221</v>
      </c>
      <c r="S9" t="s">
        <v>32</v>
      </c>
      <c r="T9" t="s">
        <v>246</v>
      </c>
      <c r="U9" s="6">
        <v>0.47222222222222221</v>
      </c>
      <c r="V9" t="s">
        <v>32</v>
      </c>
      <c r="W9" t="s">
        <v>247</v>
      </c>
      <c r="X9" s="6">
        <v>0.46875</v>
      </c>
      <c r="Y9" t="s">
        <v>32</v>
      </c>
      <c r="Z9" t="s">
        <v>25</v>
      </c>
      <c r="AA9" s="6">
        <v>0.47569444444444442</v>
      </c>
    </row>
    <row r="10" spans="1:27" x14ac:dyDescent="0.1">
      <c r="B10" t="s">
        <v>89</v>
      </c>
      <c r="E10" t="s">
        <v>89</v>
      </c>
      <c r="H10" t="s">
        <v>89</v>
      </c>
      <c r="K10" t="s">
        <v>434</v>
      </c>
      <c r="N10" t="s">
        <v>89</v>
      </c>
      <c r="Q10" t="s">
        <v>158</v>
      </c>
      <c r="T10" t="s">
        <v>122</v>
      </c>
      <c r="W10" t="s">
        <v>316</v>
      </c>
      <c r="Z10" t="s">
        <v>77</v>
      </c>
    </row>
    <row r="11" spans="1:27" x14ac:dyDescent="0.1">
      <c r="A11" t="s">
        <v>34</v>
      </c>
      <c r="B11" t="s">
        <v>853</v>
      </c>
      <c r="C11" s="6">
        <v>0.50694444444444442</v>
      </c>
      <c r="D11" t="s">
        <v>34</v>
      </c>
      <c r="E11" t="s">
        <v>25</v>
      </c>
      <c r="F11" s="6">
        <v>0.50694444444444442</v>
      </c>
      <c r="G11" t="s">
        <v>34</v>
      </c>
      <c r="H11" t="s">
        <v>25</v>
      </c>
      <c r="I11" s="6">
        <v>0.50694444444444442</v>
      </c>
      <c r="J11" t="s">
        <v>34</v>
      </c>
      <c r="K11" t="s">
        <v>246</v>
      </c>
      <c r="L11" s="6">
        <v>0.50694444444444442</v>
      </c>
      <c r="M11" t="s">
        <v>34</v>
      </c>
      <c r="N11" t="s">
        <v>853</v>
      </c>
      <c r="O11" s="6">
        <v>0.51736111111111116</v>
      </c>
      <c r="P11" t="s">
        <v>34</v>
      </c>
      <c r="Q11" t="s">
        <v>25</v>
      </c>
      <c r="R11" s="6">
        <v>0.50694444444444442</v>
      </c>
      <c r="S11" t="s">
        <v>34</v>
      </c>
      <c r="T11" t="s">
        <v>853</v>
      </c>
      <c r="U11" s="6">
        <v>0.50694444444444442</v>
      </c>
      <c r="V11" t="s">
        <v>34</v>
      </c>
      <c r="W11" t="s">
        <v>25</v>
      </c>
      <c r="X11" s="6">
        <v>0.50347222222222221</v>
      </c>
      <c r="Y11" t="s">
        <v>34</v>
      </c>
      <c r="Z11" t="s">
        <v>853</v>
      </c>
      <c r="AA11" s="6">
        <v>0.51041666666666663</v>
      </c>
    </row>
    <row r="12" spans="1:27" x14ac:dyDescent="0.1">
      <c r="B12" t="s">
        <v>90</v>
      </c>
      <c r="E12" t="s">
        <v>29</v>
      </c>
      <c r="H12" t="s">
        <v>217</v>
      </c>
      <c r="K12" t="s">
        <v>77</v>
      </c>
      <c r="N12" t="s">
        <v>76</v>
      </c>
      <c r="Q12" t="s">
        <v>228</v>
      </c>
      <c r="T12" t="s">
        <v>29</v>
      </c>
      <c r="W12" t="s">
        <v>259</v>
      </c>
      <c r="Z12" t="s">
        <v>76</v>
      </c>
    </row>
    <row r="13" spans="1:27" x14ac:dyDescent="0.1">
      <c r="A13" t="s">
        <v>35</v>
      </c>
      <c r="B13" t="s">
        <v>246</v>
      </c>
      <c r="C13" s="6">
        <v>0.52777777777777779</v>
      </c>
      <c r="D13" t="s">
        <v>35</v>
      </c>
      <c r="E13" t="s">
        <v>25</v>
      </c>
      <c r="F13" s="6">
        <v>0.52777777777777779</v>
      </c>
      <c r="G13" t="s">
        <v>35</v>
      </c>
      <c r="H13" t="s">
        <v>25</v>
      </c>
      <c r="I13" s="6">
        <v>0.52777777777777779</v>
      </c>
      <c r="J13" t="s">
        <v>35</v>
      </c>
      <c r="K13" t="s">
        <v>247</v>
      </c>
      <c r="L13" s="6">
        <v>0.52777777777777779</v>
      </c>
      <c r="M13" t="s">
        <v>35</v>
      </c>
      <c r="N13" t="s">
        <v>247</v>
      </c>
      <c r="O13" s="6">
        <v>0.53819444444444442</v>
      </c>
      <c r="P13" t="s">
        <v>35</v>
      </c>
      <c r="Q13" t="s">
        <v>246</v>
      </c>
      <c r="R13" s="6">
        <v>0.52777777777777779</v>
      </c>
      <c r="S13" t="s">
        <v>35</v>
      </c>
      <c r="T13" t="s">
        <v>25</v>
      </c>
      <c r="U13" s="6">
        <v>0.52777777777777779</v>
      </c>
      <c r="V13" t="s">
        <v>35</v>
      </c>
      <c r="W13" t="s">
        <v>25</v>
      </c>
      <c r="X13" s="6">
        <v>0.52777777777777779</v>
      </c>
      <c r="Y13" t="s">
        <v>35</v>
      </c>
      <c r="Z13" t="s">
        <v>247</v>
      </c>
      <c r="AA13" s="6">
        <v>0.53125</v>
      </c>
    </row>
    <row r="14" spans="1:27" x14ac:dyDescent="0.1">
      <c r="B14" t="s">
        <v>29</v>
      </c>
      <c r="E14" t="s">
        <v>76</v>
      </c>
      <c r="H14" t="s">
        <v>354</v>
      </c>
      <c r="K14" t="s">
        <v>78</v>
      </c>
      <c r="N14" t="s">
        <v>113</v>
      </c>
      <c r="Q14" t="s">
        <v>89</v>
      </c>
      <c r="T14" t="s">
        <v>76</v>
      </c>
      <c r="W14" t="s">
        <v>75</v>
      </c>
      <c r="Z14" t="s">
        <v>85</v>
      </c>
    </row>
    <row r="15" spans="1:27" x14ac:dyDescent="0.1">
      <c r="A15" t="s">
        <v>38</v>
      </c>
      <c r="B15" t="s">
        <v>247</v>
      </c>
      <c r="C15" s="6">
        <v>0.54861111111111116</v>
      </c>
      <c r="D15" t="s">
        <v>38</v>
      </c>
      <c r="E15" t="s">
        <v>247</v>
      </c>
      <c r="F15" s="6">
        <v>0.54861111111111116</v>
      </c>
      <c r="G15" t="s">
        <v>38</v>
      </c>
      <c r="H15" t="s">
        <v>247</v>
      </c>
      <c r="I15" s="6">
        <v>0.54861111111111116</v>
      </c>
      <c r="J15" t="s">
        <v>38</v>
      </c>
      <c r="K15" t="s">
        <v>247</v>
      </c>
      <c r="L15" s="6">
        <v>0.54861111111111116</v>
      </c>
      <c r="M15" t="s">
        <v>38</v>
      </c>
      <c r="N15" t="s">
        <v>247</v>
      </c>
      <c r="O15" s="6">
        <v>0.55902777777777779</v>
      </c>
      <c r="P15" t="s">
        <v>38</v>
      </c>
      <c r="Q15" t="s">
        <v>247</v>
      </c>
      <c r="R15" s="6">
        <v>0.54861111111111116</v>
      </c>
      <c r="S15" t="s">
        <v>38</v>
      </c>
      <c r="T15" t="s">
        <v>247</v>
      </c>
      <c r="U15" s="6">
        <v>0.54861111111111116</v>
      </c>
      <c r="V15" t="s">
        <v>38</v>
      </c>
      <c r="W15" t="s">
        <v>247</v>
      </c>
      <c r="X15" s="6">
        <v>0.54861111111111116</v>
      </c>
      <c r="Y15" t="s">
        <v>38</v>
      </c>
      <c r="Z15" t="s">
        <v>254</v>
      </c>
      <c r="AA15" s="6">
        <v>0.55208333333333337</v>
      </c>
    </row>
    <row r="16" spans="1:27" x14ac:dyDescent="0.1">
      <c r="B16" t="s">
        <v>113</v>
      </c>
      <c r="E16" t="s">
        <v>78</v>
      </c>
      <c r="H16" t="s">
        <v>85</v>
      </c>
      <c r="K16" t="s">
        <v>60</v>
      </c>
      <c r="N16" t="s">
        <v>114</v>
      </c>
      <c r="Q16" t="s">
        <v>114</v>
      </c>
      <c r="T16" t="s">
        <v>162</v>
      </c>
      <c r="W16" t="s">
        <v>78</v>
      </c>
      <c r="Z16" t="s">
        <v>135</v>
      </c>
    </row>
    <row r="17" spans="1:27" x14ac:dyDescent="0.1">
      <c r="A17" t="s">
        <v>40</v>
      </c>
      <c r="B17" t="s">
        <v>247</v>
      </c>
      <c r="C17" s="6">
        <v>0.56944444444444442</v>
      </c>
      <c r="D17" t="s">
        <v>40</v>
      </c>
      <c r="E17" t="s">
        <v>254</v>
      </c>
      <c r="F17" s="6">
        <v>0.57291666666666663</v>
      </c>
      <c r="G17" t="s">
        <v>40</v>
      </c>
      <c r="H17" t="s">
        <v>878</v>
      </c>
      <c r="I17" s="6">
        <v>0.57291666666666663</v>
      </c>
      <c r="J17" t="s">
        <v>40</v>
      </c>
      <c r="K17" t="s">
        <v>254</v>
      </c>
      <c r="L17" s="6">
        <v>0.56944444444444442</v>
      </c>
      <c r="M17" t="s">
        <v>40</v>
      </c>
      <c r="N17" t="s">
        <v>247</v>
      </c>
      <c r="O17" s="6">
        <v>0.57986111111111116</v>
      </c>
      <c r="P17" t="s">
        <v>40</v>
      </c>
      <c r="Q17" t="s">
        <v>247</v>
      </c>
      <c r="R17" s="6">
        <v>0.56944444444444442</v>
      </c>
      <c r="S17" t="s">
        <v>40</v>
      </c>
      <c r="T17" t="s">
        <v>247</v>
      </c>
      <c r="U17" s="6">
        <v>0.56944444444444442</v>
      </c>
      <c r="V17" t="s">
        <v>40</v>
      </c>
      <c r="W17" t="s">
        <v>254</v>
      </c>
      <c r="X17" s="6">
        <v>0.56944444444444442</v>
      </c>
      <c r="Y17" t="s">
        <v>40</v>
      </c>
      <c r="Z17" t="s">
        <v>254</v>
      </c>
      <c r="AA17" s="6">
        <v>0.57291666666666663</v>
      </c>
    </row>
    <row r="18" spans="1:27" x14ac:dyDescent="0.1">
      <c r="B18" t="s">
        <v>85</v>
      </c>
      <c r="E18" t="s">
        <v>85</v>
      </c>
      <c r="H18" t="s">
        <v>244</v>
      </c>
      <c r="K18" t="s">
        <v>114</v>
      </c>
      <c r="N18" t="s">
        <v>162</v>
      </c>
      <c r="Q18" t="s">
        <v>78</v>
      </c>
      <c r="T18" t="s">
        <v>268</v>
      </c>
      <c r="W18" t="s">
        <v>85</v>
      </c>
      <c r="Z18" t="s">
        <v>78</v>
      </c>
    </row>
    <row r="19" spans="1:27" x14ac:dyDescent="0.1">
      <c r="A19" t="s">
        <v>42</v>
      </c>
      <c r="B19" t="s">
        <v>859</v>
      </c>
      <c r="C19" s="6">
        <v>0.59375</v>
      </c>
      <c r="D19" t="s">
        <v>42</v>
      </c>
      <c r="E19" t="s">
        <v>869</v>
      </c>
      <c r="F19" s="6">
        <v>0.59722222222222221</v>
      </c>
      <c r="H19" t="s">
        <v>416</v>
      </c>
      <c r="J19" t="s">
        <v>42</v>
      </c>
      <c r="K19" t="s">
        <v>887</v>
      </c>
      <c r="L19" s="6">
        <v>0.59375</v>
      </c>
      <c r="M19" t="s">
        <v>42</v>
      </c>
      <c r="N19" t="s">
        <v>895</v>
      </c>
      <c r="O19" s="6">
        <v>0.60416666666666663</v>
      </c>
      <c r="P19" t="s">
        <v>42</v>
      </c>
      <c r="Q19" t="s">
        <v>904</v>
      </c>
      <c r="R19" s="6">
        <v>0.59375</v>
      </c>
      <c r="S19" t="s">
        <v>42</v>
      </c>
      <c r="T19" t="s">
        <v>913</v>
      </c>
      <c r="U19" s="6">
        <v>0.59375</v>
      </c>
      <c r="V19" t="s">
        <v>42</v>
      </c>
      <c r="W19" t="s">
        <v>921</v>
      </c>
      <c r="X19" s="6">
        <v>0.59027777777777779</v>
      </c>
      <c r="Y19" t="s">
        <v>42</v>
      </c>
      <c r="Z19" t="s">
        <v>935</v>
      </c>
      <c r="AA19" s="6">
        <v>0.59375</v>
      </c>
    </row>
    <row r="20" spans="1:27" x14ac:dyDescent="0.1">
      <c r="B20" t="s">
        <v>254</v>
      </c>
      <c r="E20" t="s">
        <v>254</v>
      </c>
      <c r="G20" t="s">
        <v>42</v>
      </c>
      <c r="H20" t="s">
        <v>879</v>
      </c>
      <c r="I20" s="6">
        <v>0.59722222222222221</v>
      </c>
      <c r="K20" t="s">
        <v>254</v>
      </c>
      <c r="N20" t="s">
        <v>254</v>
      </c>
      <c r="Q20" t="s">
        <v>254</v>
      </c>
      <c r="T20" t="s">
        <v>254</v>
      </c>
      <c r="W20" t="s">
        <v>225</v>
      </c>
      <c r="Z20" t="s">
        <v>246</v>
      </c>
    </row>
    <row r="21" spans="1:27" x14ac:dyDescent="0.1">
      <c r="B21" t="s">
        <v>78</v>
      </c>
      <c r="E21" t="s">
        <v>185</v>
      </c>
      <c r="H21" t="s">
        <v>254</v>
      </c>
      <c r="K21" t="s">
        <v>162</v>
      </c>
      <c r="N21" t="s">
        <v>268</v>
      </c>
      <c r="Q21" t="s">
        <v>60</v>
      </c>
      <c r="T21" t="s">
        <v>316</v>
      </c>
      <c r="W21" t="s">
        <v>295</v>
      </c>
      <c r="Z21" t="s">
        <v>217</v>
      </c>
    </row>
    <row r="22" spans="1:27" x14ac:dyDescent="0.1">
      <c r="A22" t="s">
        <v>46</v>
      </c>
      <c r="B22" t="s">
        <v>860</v>
      </c>
      <c r="C22" s="6">
        <v>0.61805555555555558</v>
      </c>
      <c r="D22" t="s">
        <v>46</v>
      </c>
      <c r="E22" t="s">
        <v>870</v>
      </c>
      <c r="F22" s="6">
        <v>0.62152777777777779</v>
      </c>
      <c r="H22" t="s">
        <v>113</v>
      </c>
      <c r="J22" t="s">
        <v>46</v>
      </c>
      <c r="K22" t="s">
        <v>888</v>
      </c>
      <c r="L22" s="6">
        <v>0.61805555555555558</v>
      </c>
      <c r="M22" t="s">
        <v>46</v>
      </c>
      <c r="N22" t="s">
        <v>896</v>
      </c>
      <c r="O22" s="6">
        <v>0.62847222222222221</v>
      </c>
      <c r="P22" t="s">
        <v>46</v>
      </c>
      <c r="Q22" t="s">
        <v>905</v>
      </c>
      <c r="R22" s="6">
        <v>0.61805555555555558</v>
      </c>
      <c r="S22" t="s">
        <v>46</v>
      </c>
      <c r="T22" t="s">
        <v>914</v>
      </c>
      <c r="U22" s="6">
        <v>0.61805555555555558</v>
      </c>
      <c r="V22" t="s">
        <v>46</v>
      </c>
      <c r="W22" t="s">
        <v>922</v>
      </c>
      <c r="X22" s="6">
        <v>0.61458333333333337</v>
      </c>
      <c r="Y22" t="s">
        <v>46</v>
      </c>
      <c r="Z22" t="s">
        <v>936</v>
      </c>
      <c r="AA22" s="6">
        <v>0.61805555555555558</v>
      </c>
    </row>
    <row r="23" spans="1:27" x14ac:dyDescent="0.1">
      <c r="B23" t="s">
        <v>250</v>
      </c>
      <c r="E23" t="s">
        <v>250</v>
      </c>
      <c r="G23" t="s">
        <v>46</v>
      </c>
      <c r="H23" t="s">
        <v>880</v>
      </c>
      <c r="I23" s="6">
        <v>0.62152777777777779</v>
      </c>
      <c r="K23" t="s">
        <v>250</v>
      </c>
      <c r="N23" t="s">
        <v>250</v>
      </c>
      <c r="Q23" t="s">
        <v>225</v>
      </c>
      <c r="T23" t="s">
        <v>254</v>
      </c>
      <c r="W23" t="s">
        <v>250</v>
      </c>
      <c r="Z23" t="s">
        <v>250</v>
      </c>
    </row>
    <row r="24" spans="1:27" x14ac:dyDescent="0.1">
      <c r="B24" t="s">
        <v>60</v>
      </c>
      <c r="E24" t="s">
        <v>85</v>
      </c>
      <c r="H24" t="s">
        <v>254</v>
      </c>
      <c r="K24" t="s">
        <v>171</v>
      </c>
      <c r="N24" t="s">
        <v>138</v>
      </c>
      <c r="Q24" t="s">
        <v>906</v>
      </c>
      <c r="T24" t="s">
        <v>78</v>
      </c>
      <c r="W24" t="s">
        <v>162</v>
      </c>
      <c r="Z24" t="s">
        <v>601</v>
      </c>
    </row>
    <row r="25" spans="1:27" x14ac:dyDescent="0.1">
      <c r="A25" s="42" t="s">
        <v>49</v>
      </c>
      <c r="B25" s="42" t="s">
        <v>861</v>
      </c>
      <c r="C25" s="43">
        <v>0.64583333333333337</v>
      </c>
      <c r="D25" t="s">
        <v>49</v>
      </c>
      <c r="E25" t="s">
        <v>871</v>
      </c>
      <c r="F25" s="6">
        <v>0.64583333333333337</v>
      </c>
      <c r="H25" t="s">
        <v>69</v>
      </c>
      <c r="J25" t="s">
        <v>49</v>
      </c>
      <c r="K25" t="s">
        <v>889</v>
      </c>
      <c r="L25" s="6">
        <v>0.64583333333333337</v>
      </c>
      <c r="M25" t="s">
        <v>49</v>
      </c>
      <c r="N25" t="s">
        <v>897</v>
      </c>
      <c r="O25" s="6">
        <v>0.65625</v>
      </c>
      <c r="P25" t="s">
        <v>49</v>
      </c>
      <c r="Q25" t="s">
        <v>907</v>
      </c>
      <c r="R25" s="6">
        <v>0.64583333333333337</v>
      </c>
      <c r="S25" t="s">
        <v>49</v>
      </c>
      <c r="T25" t="s">
        <v>915</v>
      </c>
      <c r="U25" s="6">
        <v>0.64583333333333337</v>
      </c>
      <c r="V25" t="s">
        <v>49</v>
      </c>
      <c r="W25" t="s">
        <v>923</v>
      </c>
      <c r="X25" s="6">
        <v>0.63888888888888884</v>
      </c>
      <c r="Y25" t="s">
        <v>49</v>
      </c>
      <c r="Z25" t="s">
        <v>937</v>
      </c>
      <c r="AA25" s="6">
        <v>0.64583333333333337</v>
      </c>
    </row>
    <row r="26" spans="1:27" x14ac:dyDescent="0.1">
      <c r="A26" s="42"/>
      <c r="B26" s="42" t="s">
        <v>862</v>
      </c>
      <c r="C26" s="42"/>
      <c r="E26" t="s">
        <v>264</v>
      </c>
      <c r="G26" t="s">
        <v>49</v>
      </c>
      <c r="H26" t="s">
        <v>881</v>
      </c>
      <c r="I26" s="6">
        <v>0.64583333333333337</v>
      </c>
      <c r="K26" t="s">
        <v>264</v>
      </c>
      <c r="N26" t="s">
        <v>898</v>
      </c>
      <c r="Q26" t="s">
        <v>250</v>
      </c>
      <c r="T26" t="s">
        <v>264</v>
      </c>
      <c r="W26" t="s">
        <v>264</v>
      </c>
      <c r="Z26" t="s">
        <v>264</v>
      </c>
    </row>
    <row r="27" spans="1:27" x14ac:dyDescent="0.1">
      <c r="A27" s="42"/>
      <c r="B27" s="42" t="s">
        <v>264</v>
      </c>
      <c r="C27" s="42"/>
      <c r="E27" t="s">
        <v>872</v>
      </c>
      <c r="H27" t="s">
        <v>264</v>
      </c>
      <c r="K27" t="s">
        <v>103</v>
      </c>
      <c r="N27" t="s">
        <v>225</v>
      </c>
      <c r="Q27" t="s">
        <v>114</v>
      </c>
      <c r="T27" t="s">
        <v>507</v>
      </c>
      <c r="W27" t="s">
        <v>342</v>
      </c>
      <c r="Z27" t="s">
        <v>312</v>
      </c>
    </row>
    <row r="28" spans="1:27" x14ac:dyDescent="0.1">
      <c r="A28" s="42"/>
      <c r="B28" s="42" t="s">
        <v>167</v>
      </c>
      <c r="C28" s="42"/>
      <c r="D28" t="s">
        <v>53</v>
      </c>
      <c r="E28" t="s">
        <v>247</v>
      </c>
      <c r="F28" s="6">
        <v>0.67361111111111116</v>
      </c>
      <c r="H28" t="s">
        <v>366</v>
      </c>
      <c r="J28" t="s">
        <v>53</v>
      </c>
      <c r="K28" t="s">
        <v>25</v>
      </c>
      <c r="L28" s="6">
        <v>0.67361111111111116</v>
      </c>
      <c r="N28" t="s">
        <v>117</v>
      </c>
      <c r="P28" t="s">
        <v>53</v>
      </c>
      <c r="Q28" t="s">
        <v>254</v>
      </c>
      <c r="R28" s="6">
        <v>0.67361111111111116</v>
      </c>
      <c r="S28" t="s">
        <v>53</v>
      </c>
      <c r="T28" t="s">
        <v>247</v>
      </c>
      <c r="U28" s="6">
        <v>0.67361111111111116</v>
      </c>
      <c r="V28" t="s">
        <v>53</v>
      </c>
      <c r="W28" t="s">
        <v>254</v>
      </c>
      <c r="X28" s="6">
        <v>0.66666666666666663</v>
      </c>
      <c r="Y28" t="s">
        <v>53</v>
      </c>
      <c r="Z28" t="s">
        <v>247</v>
      </c>
      <c r="AA28" s="6">
        <v>0.67361111111111116</v>
      </c>
    </row>
    <row r="29" spans="1:27" x14ac:dyDescent="0.1">
      <c r="A29" t="s">
        <v>53</v>
      </c>
      <c r="B29" t="s">
        <v>254</v>
      </c>
      <c r="C29" s="6">
        <v>0.67361111111111116</v>
      </c>
      <c r="E29" t="s">
        <v>171</v>
      </c>
      <c r="G29" t="s">
        <v>53</v>
      </c>
      <c r="H29" t="s">
        <v>247</v>
      </c>
      <c r="I29" s="6">
        <v>0.67361111111111116</v>
      </c>
      <c r="K29" t="s">
        <v>90</v>
      </c>
      <c r="M29" t="s">
        <v>53</v>
      </c>
      <c r="N29" t="s">
        <v>25</v>
      </c>
      <c r="O29" s="6">
        <v>0.68402777777777779</v>
      </c>
      <c r="Q29" t="s">
        <v>171</v>
      </c>
      <c r="T29" t="s">
        <v>171</v>
      </c>
      <c r="W29" t="s">
        <v>417</v>
      </c>
      <c r="Z29" t="s">
        <v>185</v>
      </c>
    </row>
    <row r="30" spans="1:27" x14ac:dyDescent="0.1">
      <c r="B30" t="s">
        <v>417</v>
      </c>
      <c r="H30" t="s">
        <v>417</v>
      </c>
      <c r="N30" t="s">
        <v>75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AB9C-5B5F-412F-B68C-126D742F88AA}">
  <sheetPr codeName="Sheet6"/>
  <dimension ref="A1:AJ30"/>
  <sheetViews>
    <sheetView workbookViewId="0"/>
  </sheetViews>
  <sheetFormatPr defaultRowHeight="13.5" x14ac:dyDescent="0.1"/>
  <cols>
    <col min="1" max="1" width="11.1796875" bestFit="1" customWidth="1"/>
    <col min="2" max="2" width="30.81640625" bestFit="1" customWidth="1"/>
    <col min="3" max="3" width="9.26953125" bestFit="1" customWidth="1"/>
    <col min="4" max="4" width="11.1796875" bestFit="1" customWidth="1"/>
    <col min="5" max="5" width="18.81640625" bestFit="1" customWidth="1"/>
    <col min="6" max="6" width="9.26953125" bestFit="1" customWidth="1"/>
    <col min="7" max="7" width="11.1796875" bestFit="1" customWidth="1"/>
    <col min="8" max="8" width="20.453125" bestFit="1" customWidth="1"/>
    <col min="9" max="9" width="9.26953125" bestFit="1" customWidth="1"/>
    <col min="10" max="10" width="11.1796875" bestFit="1" customWidth="1"/>
    <col min="11" max="11" width="24.6796875" bestFit="1" customWidth="1"/>
    <col min="12" max="12" width="9.26953125" bestFit="1" customWidth="1"/>
    <col min="13" max="13" width="11.1796875" bestFit="1" customWidth="1"/>
    <col min="14" max="14" width="20.453125" bestFit="1" customWidth="1"/>
    <col min="15" max="15" width="9.26953125" bestFit="1" customWidth="1"/>
    <col min="16" max="16" width="31.49609375" bestFit="1" customWidth="1"/>
    <col min="17" max="17" width="24.6796875" bestFit="1" customWidth="1"/>
    <col min="18" max="18" width="9.26953125" bestFit="1" customWidth="1"/>
    <col min="19" max="19" width="11.1796875" bestFit="1" customWidth="1"/>
    <col min="20" max="20" width="37.2265625" bestFit="1" customWidth="1"/>
    <col min="21" max="21" width="9.26953125" bestFit="1" customWidth="1"/>
    <col min="22" max="22" width="11.1796875" bestFit="1" customWidth="1"/>
    <col min="23" max="23" width="23.1796875" bestFit="1" customWidth="1"/>
    <col min="24" max="24" width="9.26953125" bestFit="1" customWidth="1"/>
    <col min="25" max="25" width="11.1796875" bestFit="1" customWidth="1"/>
    <col min="26" max="26" width="20.1796875" bestFit="1" customWidth="1"/>
    <col min="27" max="27" width="9.26953125" bestFit="1" customWidth="1"/>
    <col min="28" max="28" width="12.26953125" bestFit="1" customWidth="1"/>
    <col min="29" max="29" width="24.26953125" bestFit="1" customWidth="1"/>
    <col min="30" max="30" width="9.26953125" bestFit="1" customWidth="1"/>
    <col min="31" max="31" width="12.26953125" bestFit="1" customWidth="1"/>
    <col min="32" max="32" width="20.1796875" bestFit="1" customWidth="1"/>
    <col min="33" max="33" width="9.26953125" bestFit="1" customWidth="1"/>
    <col min="34" max="34" width="12.26953125" bestFit="1" customWidth="1"/>
    <col min="35" max="35" width="18.81640625" bestFit="1" customWidth="1"/>
    <col min="36" max="36" width="9.26953125" bestFit="1" customWidth="1"/>
  </cols>
  <sheetData>
    <row r="1" spans="1:36" x14ac:dyDescent="0.1">
      <c r="A1" t="s">
        <v>924</v>
      </c>
      <c r="D1" t="s">
        <v>938</v>
      </c>
      <c r="G1" t="s">
        <v>950</v>
      </c>
      <c r="J1" t="s">
        <v>964</v>
      </c>
      <c r="M1" t="s">
        <v>974</v>
      </c>
      <c r="P1" t="s">
        <v>978</v>
      </c>
      <c r="S1" t="s">
        <v>999</v>
      </c>
      <c r="V1" t="s">
        <v>1014</v>
      </c>
      <c r="Y1" t="s">
        <v>1028</v>
      </c>
      <c r="AB1" t="s">
        <v>1041</v>
      </c>
      <c r="AE1" t="s">
        <v>1056</v>
      </c>
      <c r="AH1" t="s">
        <v>1069</v>
      </c>
    </row>
    <row r="2" spans="1:36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  <c r="AB2" t="s">
        <v>21</v>
      </c>
      <c r="AC2" t="s">
        <v>22</v>
      </c>
      <c r="AD2" t="s">
        <v>23</v>
      </c>
      <c r="AE2" t="s">
        <v>21</v>
      </c>
      <c r="AF2" t="s">
        <v>22</v>
      </c>
      <c r="AG2" t="s">
        <v>23</v>
      </c>
      <c r="AH2" t="s">
        <v>21</v>
      </c>
      <c r="AI2" t="s">
        <v>22</v>
      </c>
      <c r="AJ2" t="s">
        <v>23</v>
      </c>
    </row>
    <row r="3" spans="1:36" x14ac:dyDescent="0.1">
      <c r="A3" t="s">
        <v>24</v>
      </c>
      <c r="B3" t="s">
        <v>25</v>
      </c>
      <c r="C3" s="6">
        <v>0.4201388888888889</v>
      </c>
      <c r="D3" t="s">
        <v>24</v>
      </c>
      <c r="E3" t="s">
        <v>25</v>
      </c>
      <c r="F3" s="6">
        <v>0.40625</v>
      </c>
      <c r="G3" t="s">
        <v>24</v>
      </c>
      <c r="H3" t="s">
        <v>25</v>
      </c>
      <c r="I3" s="6">
        <v>0.40625</v>
      </c>
      <c r="J3" t="s">
        <v>24</v>
      </c>
      <c r="K3" t="s">
        <v>25</v>
      </c>
      <c r="L3" s="6">
        <v>0.40625</v>
      </c>
      <c r="M3" t="s">
        <v>24</v>
      </c>
      <c r="N3" t="s">
        <v>25</v>
      </c>
      <c r="O3" s="6">
        <v>0.40625</v>
      </c>
      <c r="P3" t="s">
        <v>24</v>
      </c>
      <c r="Q3" t="s">
        <v>25</v>
      </c>
      <c r="R3" s="6">
        <v>0.40625</v>
      </c>
      <c r="S3" t="s">
        <v>24</v>
      </c>
      <c r="T3" t="s">
        <v>25</v>
      </c>
      <c r="U3" s="6">
        <v>0.40625</v>
      </c>
      <c r="V3" t="s">
        <v>24</v>
      </c>
      <c r="W3" t="s">
        <v>25</v>
      </c>
      <c r="X3" s="6">
        <v>0.40625</v>
      </c>
      <c r="Y3" t="s">
        <v>24</v>
      </c>
      <c r="Z3" t="s">
        <v>25</v>
      </c>
      <c r="AA3" s="6">
        <v>0.40625</v>
      </c>
      <c r="AB3" t="s">
        <v>24</v>
      </c>
      <c r="AC3" t="s">
        <v>25</v>
      </c>
      <c r="AD3" s="6">
        <v>0.40625</v>
      </c>
      <c r="AE3" t="s">
        <v>24</v>
      </c>
      <c r="AF3" t="s">
        <v>25</v>
      </c>
      <c r="AG3" s="6">
        <v>0.40625</v>
      </c>
      <c r="AH3" t="s">
        <v>24</v>
      </c>
      <c r="AI3" t="s">
        <v>25</v>
      </c>
      <c r="AJ3" s="6">
        <v>0.40625</v>
      </c>
    </row>
    <row r="4" spans="1:36" x14ac:dyDescent="0.1">
      <c r="B4" t="s">
        <v>31</v>
      </c>
      <c r="E4" t="s">
        <v>26</v>
      </c>
      <c r="H4" t="s">
        <v>55</v>
      </c>
      <c r="K4" t="s">
        <v>31</v>
      </c>
      <c r="N4" t="s">
        <v>26</v>
      </c>
      <c r="Q4" t="s">
        <v>31</v>
      </c>
      <c r="T4" t="s">
        <v>26</v>
      </c>
      <c r="W4" t="s">
        <v>31</v>
      </c>
      <c r="Z4" t="s">
        <v>31</v>
      </c>
      <c r="AC4" t="s">
        <v>26</v>
      </c>
      <c r="AF4" t="s">
        <v>26</v>
      </c>
      <c r="AI4" t="s">
        <v>31</v>
      </c>
    </row>
    <row r="5" spans="1:36" x14ac:dyDescent="0.1">
      <c r="A5" t="s">
        <v>27</v>
      </c>
      <c r="B5" t="s">
        <v>25</v>
      </c>
      <c r="C5" s="6">
        <v>0.44097222222222221</v>
      </c>
      <c r="D5" t="s">
        <v>27</v>
      </c>
      <c r="E5" t="s">
        <v>25</v>
      </c>
      <c r="F5" s="6">
        <v>0.42708333333333331</v>
      </c>
      <c r="G5" t="s">
        <v>27</v>
      </c>
      <c r="H5" t="s">
        <v>25</v>
      </c>
      <c r="I5" s="6">
        <v>0.42708333333333331</v>
      </c>
      <c r="J5" t="s">
        <v>27</v>
      </c>
      <c r="K5" t="s">
        <v>25</v>
      </c>
      <c r="L5" s="6">
        <v>0.42708333333333331</v>
      </c>
      <c r="M5" t="s">
        <v>27</v>
      </c>
      <c r="N5" t="s">
        <v>25</v>
      </c>
      <c r="O5" s="6">
        <v>0.42708333333333331</v>
      </c>
      <c r="P5" t="s">
        <v>27</v>
      </c>
      <c r="Q5" t="s">
        <v>25</v>
      </c>
      <c r="R5" s="6">
        <v>0.42708333333333331</v>
      </c>
      <c r="S5" t="s">
        <v>27</v>
      </c>
      <c r="T5" t="s">
        <v>25</v>
      </c>
      <c r="U5" s="6">
        <v>0.4236111111111111</v>
      </c>
      <c r="V5" t="s">
        <v>27</v>
      </c>
      <c r="W5" t="s">
        <v>25</v>
      </c>
      <c r="X5" s="6">
        <v>0.42708333333333331</v>
      </c>
      <c r="Y5" t="s">
        <v>27</v>
      </c>
      <c r="Z5" t="s">
        <v>25</v>
      </c>
      <c r="AA5" s="6">
        <v>0.42708333333333331</v>
      </c>
      <c r="AB5" t="s">
        <v>27</v>
      </c>
      <c r="AC5" t="s">
        <v>25</v>
      </c>
      <c r="AD5" s="6">
        <v>0.42708333333333331</v>
      </c>
      <c r="AE5" t="s">
        <v>27</v>
      </c>
      <c r="AF5" t="s">
        <v>25</v>
      </c>
      <c r="AG5" s="6">
        <v>0.42708333333333331</v>
      </c>
      <c r="AH5" t="s">
        <v>27</v>
      </c>
      <c r="AI5" t="s">
        <v>25</v>
      </c>
      <c r="AJ5" s="6">
        <v>0.42708333333333331</v>
      </c>
    </row>
    <row r="6" spans="1:36" x14ac:dyDescent="0.1">
      <c r="B6" t="s">
        <v>65</v>
      </c>
      <c r="E6" t="s">
        <v>33</v>
      </c>
      <c r="H6" t="s">
        <v>228</v>
      </c>
      <c r="K6" t="s">
        <v>33</v>
      </c>
      <c r="N6" t="s">
        <v>33</v>
      </c>
      <c r="Q6" t="s">
        <v>429</v>
      </c>
      <c r="T6" t="s">
        <v>33</v>
      </c>
      <c r="W6" t="s">
        <v>33</v>
      </c>
      <c r="Z6" t="s">
        <v>429</v>
      </c>
      <c r="AC6" t="s">
        <v>33</v>
      </c>
      <c r="AF6" t="s">
        <v>33</v>
      </c>
      <c r="AI6" t="s">
        <v>228</v>
      </c>
    </row>
    <row r="7" spans="1:36" x14ac:dyDescent="0.1">
      <c r="A7" t="s">
        <v>30</v>
      </c>
      <c r="B7" t="s">
        <v>25</v>
      </c>
      <c r="C7" s="6">
        <v>0.46180555555555558</v>
      </c>
      <c r="D7" t="s">
        <v>30</v>
      </c>
      <c r="E7" t="s">
        <v>247</v>
      </c>
      <c r="F7" s="6">
        <v>0.44791666666666669</v>
      </c>
      <c r="G7" t="s">
        <v>30</v>
      </c>
      <c r="H7" t="s">
        <v>247</v>
      </c>
      <c r="I7" s="6">
        <v>0.44791666666666669</v>
      </c>
      <c r="J7" t="s">
        <v>30</v>
      </c>
      <c r="K7" t="s">
        <v>247</v>
      </c>
      <c r="L7" s="6">
        <v>0.44791666666666669</v>
      </c>
      <c r="M7" t="s">
        <v>30</v>
      </c>
      <c r="N7" t="s">
        <v>25</v>
      </c>
      <c r="O7" s="6">
        <v>0.44791666666666669</v>
      </c>
      <c r="P7" t="s">
        <v>30</v>
      </c>
      <c r="Q7" t="s">
        <v>247</v>
      </c>
      <c r="R7" s="6">
        <v>0.44791666666666669</v>
      </c>
      <c r="S7" t="s">
        <v>30</v>
      </c>
      <c r="T7" t="s">
        <v>25</v>
      </c>
      <c r="U7" s="6">
        <v>0.44444444444444442</v>
      </c>
      <c r="V7" t="s">
        <v>30</v>
      </c>
      <c r="W7" t="s">
        <v>247</v>
      </c>
      <c r="X7" s="6">
        <v>0.44791666666666669</v>
      </c>
      <c r="Y7" t="s">
        <v>30</v>
      </c>
      <c r="Z7" t="s">
        <v>25</v>
      </c>
      <c r="AA7" s="6">
        <v>0.44791666666666669</v>
      </c>
      <c r="AB7" t="s">
        <v>30</v>
      </c>
      <c r="AC7" t="s">
        <v>247</v>
      </c>
      <c r="AD7" s="6">
        <v>0.44791666666666669</v>
      </c>
      <c r="AE7" t="s">
        <v>30</v>
      </c>
      <c r="AF7" t="s">
        <v>247</v>
      </c>
      <c r="AG7" s="6">
        <v>0.44791666666666669</v>
      </c>
      <c r="AH7" t="s">
        <v>30</v>
      </c>
      <c r="AI7" t="s">
        <v>25</v>
      </c>
      <c r="AJ7" s="6">
        <v>0.44791666666666669</v>
      </c>
    </row>
    <row r="8" spans="1:36" x14ac:dyDescent="0.1">
      <c r="B8" t="s">
        <v>55</v>
      </c>
      <c r="E8" t="s">
        <v>37</v>
      </c>
      <c r="H8" t="s">
        <v>45</v>
      </c>
      <c r="K8" t="s">
        <v>37</v>
      </c>
      <c r="N8" t="s">
        <v>55</v>
      </c>
      <c r="Q8" t="s">
        <v>37</v>
      </c>
      <c r="T8" t="s">
        <v>55</v>
      </c>
      <c r="W8" t="s">
        <v>37</v>
      </c>
      <c r="Z8" t="s">
        <v>55</v>
      </c>
      <c r="AC8" t="s">
        <v>37</v>
      </c>
      <c r="AF8" t="s">
        <v>37</v>
      </c>
      <c r="AI8" t="s">
        <v>55</v>
      </c>
    </row>
    <row r="9" spans="1:36" x14ac:dyDescent="0.1">
      <c r="A9" t="s">
        <v>32</v>
      </c>
      <c r="B9" t="s">
        <v>257</v>
      </c>
      <c r="C9" s="6">
        <v>0.4826388888888889</v>
      </c>
      <c r="D9" t="s">
        <v>32</v>
      </c>
      <c r="E9" t="s">
        <v>257</v>
      </c>
      <c r="F9" s="6">
        <v>0.46875</v>
      </c>
      <c r="G9" t="s">
        <v>32</v>
      </c>
      <c r="H9" t="s">
        <v>257</v>
      </c>
      <c r="I9" s="6">
        <v>0.46875</v>
      </c>
      <c r="J9" t="s">
        <v>32</v>
      </c>
      <c r="K9" t="s">
        <v>257</v>
      </c>
      <c r="L9" s="6">
        <v>0.46875</v>
      </c>
      <c r="M9" t="s">
        <v>32</v>
      </c>
      <c r="N9" t="s">
        <v>257</v>
      </c>
      <c r="O9" s="6">
        <v>0.46875</v>
      </c>
      <c r="P9" t="s">
        <v>34</v>
      </c>
      <c r="Q9" t="s">
        <v>853</v>
      </c>
      <c r="R9" s="6">
        <v>0.50347222222222221</v>
      </c>
      <c r="S9" t="s">
        <v>32</v>
      </c>
      <c r="T9" t="s">
        <v>257</v>
      </c>
      <c r="U9" s="6">
        <v>0.46527777777777779</v>
      </c>
      <c r="V9" t="s">
        <v>32</v>
      </c>
      <c r="W9" t="s">
        <v>257</v>
      </c>
      <c r="X9" s="6">
        <v>0.46875</v>
      </c>
      <c r="Y9" t="s">
        <v>32</v>
      </c>
      <c r="Z9" t="s">
        <v>257</v>
      </c>
      <c r="AA9" s="6">
        <v>0.46875</v>
      </c>
      <c r="AB9" t="s">
        <v>32</v>
      </c>
      <c r="AC9" t="s">
        <v>257</v>
      </c>
      <c r="AD9" s="6">
        <v>0.46875</v>
      </c>
      <c r="AE9" t="s">
        <v>32</v>
      </c>
      <c r="AF9" t="s">
        <v>257</v>
      </c>
      <c r="AG9" s="6">
        <v>0.46875</v>
      </c>
      <c r="AH9" t="s">
        <v>32</v>
      </c>
      <c r="AI9" t="s">
        <v>257</v>
      </c>
      <c r="AJ9" s="6">
        <v>0.46875</v>
      </c>
    </row>
    <row r="10" spans="1:36" x14ac:dyDescent="0.1">
      <c r="B10" t="s">
        <v>718</v>
      </c>
      <c r="E10" t="s">
        <v>718</v>
      </c>
      <c r="H10" t="s">
        <v>718</v>
      </c>
      <c r="K10" t="s">
        <v>718</v>
      </c>
      <c r="N10" t="s">
        <v>718</v>
      </c>
      <c r="Q10" t="s">
        <v>29</v>
      </c>
      <c r="T10" t="s">
        <v>718</v>
      </c>
      <c r="W10" t="s">
        <v>718</v>
      </c>
      <c r="Z10" t="s">
        <v>718</v>
      </c>
      <c r="AC10" t="s">
        <v>718</v>
      </c>
      <c r="AF10" t="s">
        <v>718</v>
      </c>
      <c r="AI10" t="s">
        <v>718</v>
      </c>
    </row>
    <row r="11" spans="1:36" x14ac:dyDescent="0.1">
      <c r="A11" t="s">
        <v>34</v>
      </c>
      <c r="B11" t="s">
        <v>244</v>
      </c>
      <c r="C11" s="6">
        <v>0.51736111111111116</v>
      </c>
      <c r="D11" t="s">
        <v>34</v>
      </c>
      <c r="E11" t="s">
        <v>853</v>
      </c>
      <c r="F11" s="6">
        <v>0.50347222222222221</v>
      </c>
      <c r="G11" t="s">
        <v>34</v>
      </c>
      <c r="H11" t="s">
        <v>244</v>
      </c>
      <c r="I11" s="6">
        <v>0.50347222222222221</v>
      </c>
      <c r="J11" t="s">
        <v>34</v>
      </c>
      <c r="K11" t="s">
        <v>853</v>
      </c>
      <c r="L11" s="6">
        <v>0.50347222222222221</v>
      </c>
      <c r="M11" t="s">
        <v>34</v>
      </c>
      <c r="N11" t="s">
        <v>257</v>
      </c>
      <c r="O11" s="6">
        <v>0.50347222222222221</v>
      </c>
      <c r="P11" t="s">
        <v>35</v>
      </c>
      <c r="Q11" t="s">
        <v>25</v>
      </c>
      <c r="R11" s="6">
        <v>0.52430555555555558</v>
      </c>
      <c r="S11" t="s">
        <v>34</v>
      </c>
      <c r="T11" t="s">
        <v>25</v>
      </c>
      <c r="U11" s="6">
        <v>0.5</v>
      </c>
      <c r="V11" t="s">
        <v>34</v>
      </c>
      <c r="W11" t="s">
        <v>25</v>
      </c>
      <c r="X11" s="6">
        <v>0.50347222222222221</v>
      </c>
      <c r="Y11" t="s">
        <v>34</v>
      </c>
      <c r="Z11" t="s">
        <v>244</v>
      </c>
      <c r="AA11" s="6">
        <v>0.50347222222222221</v>
      </c>
      <c r="AB11" t="s">
        <v>34</v>
      </c>
      <c r="AC11" t="s">
        <v>25</v>
      </c>
      <c r="AD11" s="6">
        <v>0.50347222222222221</v>
      </c>
      <c r="AE11" t="s">
        <v>34</v>
      </c>
      <c r="AF11" t="s">
        <v>244</v>
      </c>
      <c r="AG11" s="6">
        <v>0.50347222222222221</v>
      </c>
      <c r="AH11" t="s">
        <v>34</v>
      </c>
      <c r="AI11" t="s">
        <v>25</v>
      </c>
      <c r="AJ11" s="6">
        <v>0.50347222222222221</v>
      </c>
    </row>
    <row r="12" spans="1:36" x14ac:dyDescent="0.1">
      <c r="B12" t="s">
        <v>768</v>
      </c>
      <c r="E12" t="s">
        <v>33</v>
      </c>
      <c r="H12" t="s">
        <v>951</v>
      </c>
      <c r="K12" t="s">
        <v>33</v>
      </c>
      <c r="N12" t="s">
        <v>718</v>
      </c>
      <c r="Q12" t="s">
        <v>65</v>
      </c>
      <c r="T12" t="s">
        <v>29</v>
      </c>
      <c r="W12" t="s">
        <v>65</v>
      </c>
      <c r="Z12" t="s">
        <v>768</v>
      </c>
      <c r="AC12" t="s">
        <v>29</v>
      </c>
      <c r="AF12" t="s">
        <v>951</v>
      </c>
      <c r="AI12" t="s">
        <v>33</v>
      </c>
    </row>
    <row r="13" spans="1:36" x14ac:dyDescent="0.1">
      <c r="A13" t="s">
        <v>35</v>
      </c>
      <c r="B13" t="s">
        <v>853</v>
      </c>
      <c r="C13" s="6">
        <v>0.54166666666666663</v>
      </c>
      <c r="D13" t="s">
        <v>35</v>
      </c>
      <c r="E13" t="s">
        <v>25</v>
      </c>
      <c r="F13" s="6">
        <v>0.52430555555555558</v>
      </c>
      <c r="G13" t="s">
        <v>35</v>
      </c>
      <c r="H13" t="s">
        <v>25</v>
      </c>
      <c r="I13" s="6">
        <v>0.52777777777777779</v>
      </c>
      <c r="J13" t="s">
        <v>35</v>
      </c>
      <c r="K13" t="s">
        <v>25</v>
      </c>
      <c r="L13" s="6">
        <v>0.52430555555555558</v>
      </c>
      <c r="M13" t="s">
        <v>35</v>
      </c>
      <c r="N13" t="s">
        <v>25</v>
      </c>
      <c r="O13" s="6">
        <v>0.52777777777777779</v>
      </c>
      <c r="P13" t="s">
        <v>38</v>
      </c>
      <c r="Q13" t="s">
        <v>247</v>
      </c>
      <c r="R13" s="6">
        <v>0.54513888888888884</v>
      </c>
      <c r="S13" t="s">
        <v>35</v>
      </c>
      <c r="T13" t="s">
        <v>247</v>
      </c>
      <c r="U13" s="6">
        <v>0.52083333333333337</v>
      </c>
      <c r="V13" t="s">
        <v>35</v>
      </c>
      <c r="W13" t="s">
        <v>247</v>
      </c>
      <c r="X13" s="6">
        <v>0.52430555555555558</v>
      </c>
      <c r="Y13" t="s">
        <v>35</v>
      </c>
      <c r="Z13" t="s">
        <v>25</v>
      </c>
      <c r="AA13" s="6">
        <v>0.52777777777777779</v>
      </c>
      <c r="AB13" t="s">
        <v>35</v>
      </c>
      <c r="AC13" t="s">
        <v>25</v>
      </c>
      <c r="AD13" s="6">
        <v>0.52430555555555558</v>
      </c>
      <c r="AE13" t="s">
        <v>35</v>
      </c>
      <c r="AF13" t="s">
        <v>25</v>
      </c>
      <c r="AG13" s="6">
        <v>0.52777777777777779</v>
      </c>
      <c r="AH13" t="s">
        <v>35</v>
      </c>
      <c r="AI13" t="s">
        <v>25</v>
      </c>
      <c r="AJ13" s="6">
        <v>0.52430555555555558</v>
      </c>
    </row>
    <row r="14" spans="1:36" x14ac:dyDescent="0.1">
      <c r="B14" t="s">
        <v>29</v>
      </c>
      <c r="E14" t="s">
        <v>31</v>
      </c>
      <c r="H14" t="s">
        <v>493</v>
      </c>
      <c r="K14" t="s">
        <v>29</v>
      </c>
      <c r="N14" t="s">
        <v>541</v>
      </c>
      <c r="Q14" t="s">
        <v>66</v>
      </c>
      <c r="T14" t="s">
        <v>39</v>
      </c>
      <c r="W14" t="s">
        <v>60</v>
      </c>
      <c r="Z14" t="s">
        <v>65</v>
      </c>
      <c r="AC14" t="s">
        <v>275</v>
      </c>
      <c r="AF14" t="s">
        <v>29</v>
      </c>
      <c r="AI14" t="s">
        <v>65</v>
      </c>
    </row>
    <row r="15" spans="1:36" x14ac:dyDescent="0.1">
      <c r="A15" t="s">
        <v>38</v>
      </c>
      <c r="B15" t="s">
        <v>247</v>
      </c>
      <c r="C15" s="6">
        <v>0.5625</v>
      </c>
      <c r="D15" t="s">
        <v>38</v>
      </c>
      <c r="E15" t="s">
        <v>25</v>
      </c>
      <c r="F15" s="6">
        <v>0.54513888888888884</v>
      </c>
      <c r="G15" t="s">
        <v>38</v>
      </c>
      <c r="H15" t="s">
        <v>25</v>
      </c>
      <c r="I15" s="6">
        <v>0.54861111111111116</v>
      </c>
      <c r="J15" t="s">
        <v>38</v>
      </c>
      <c r="K15" t="s">
        <v>247</v>
      </c>
      <c r="L15" s="6">
        <v>0.54513888888888884</v>
      </c>
      <c r="M15" t="s">
        <v>38</v>
      </c>
      <c r="N15" t="s">
        <v>247</v>
      </c>
      <c r="O15" s="6">
        <v>0.54861111111111116</v>
      </c>
      <c r="P15" t="s">
        <v>40</v>
      </c>
      <c r="Q15" t="s">
        <v>247</v>
      </c>
      <c r="R15" s="6">
        <v>0.56597222222222221</v>
      </c>
      <c r="S15" t="s">
        <v>38</v>
      </c>
      <c r="T15" t="s">
        <v>247</v>
      </c>
      <c r="U15" s="6">
        <v>0.54166666666666663</v>
      </c>
      <c r="V15" t="s">
        <v>38</v>
      </c>
      <c r="W15" t="s">
        <v>247</v>
      </c>
      <c r="X15" s="6">
        <v>0.54513888888888884</v>
      </c>
      <c r="Y15" t="s">
        <v>38</v>
      </c>
      <c r="Z15" t="s">
        <v>247</v>
      </c>
      <c r="AA15" s="6">
        <v>0.54861111111111116</v>
      </c>
      <c r="AB15" t="s">
        <v>38</v>
      </c>
      <c r="AC15" t="s">
        <v>247</v>
      </c>
      <c r="AD15" s="6">
        <v>0.54513888888888884</v>
      </c>
      <c r="AE15" t="s">
        <v>38</v>
      </c>
      <c r="AF15" t="s">
        <v>246</v>
      </c>
      <c r="AG15" s="6">
        <v>0.54861111111111116</v>
      </c>
      <c r="AH15" t="s">
        <v>38</v>
      </c>
      <c r="AI15" t="s">
        <v>247</v>
      </c>
      <c r="AJ15" s="6">
        <v>0.54513888888888884</v>
      </c>
    </row>
    <row r="16" spans="1:36" x14ac:dyDescent="0.1">
      <c r="B16" t="s">
        <v>73</v>
      </c>
      <c r="E16" t="s">
        <v>29</v>
      </c>
      <c r="H16" t="s">
        <v>65</v>
      </c>
      <c r="K16" t="s">
        <v>66</v>
      </c>
      <c r="N16" t="s">
        <v>135</v>
      </c>
      <c r="Q16" t="s">
        <v>965</v>
      </c>
      <c r="T16" t="s">
        <v>66</v>
      </c>
      <c r="W16" t="s">
        <v>73</v>
      </c>
      <c r="Z16" t="s">
        <v>45</v>
      </c>
      <c r="AC16" t="s">
        <v>45</v>
      </c>
      <c r="AF16" t="s">
        <v>31</v>
      </c>
      <c r="AI16" t="s">
        <v>39</v>
      </c>
    </row>
    <row r="17" spans="1:36" x14ac:dyDescent="0.1">
      <c r="A17" t="s">
        <v>40</v>
      </c>
      <c r="B17" t="s">
        <v>247</v>
      </c>
      <c r="C17" s="6">
        <v>0.58333333333333337</v>
      </c>
      <c r="D17" t="s">
        <v>40</v>
      </c>
      <c r="E17" t="s">
        <v>247</v>
      </c>
      <c r="F17" s="6">
        <v>0.56597222222222221</v>
      </c>
      <c r="G17" t="s">
        <v>40</v>
      </c>
      <c r="H17" t="s">
        <v>247</v>
      </c>
      <c r="I17" s="6">
        <v>0.56944444444444442</v>
      </c>
      <c r="J17" t="s">
        <v>40</v>
      </c>
      <c r="K17" t="s">
        <v>247</v>
      </c>
      <c r="L17" s="6">
        <v>0.56597222222222221</v>
      </c>
      <c r="M17" t="s">
        <v>40</v>
      </c>
      <c r="N17" t="s">
        <v>247</v>
      </c>
      <c r="O17" s="6">
        <v>0.56944444444444442</v>
      </c>
      <c r="P17" t="s">
        <v>42</v>
      </c>
      <c r="Q17" t="s">
        <v>979</v>
      </c>
      <c r="R17" s="6">
        <v>0.58680555555555558</v>
      </c>
      <c r="S17" t="s">
        <v>40</v>
      </c>
      <c r="T17" t="s">
        <v>1000</v>
      </c>
      <c r="U17" s="6">
        <v>0.56597222222222221</v>
      </c>
      <c r="V17" t="s">
        <v>40</v>
      </c>
      <c r="W17" t="s">
        <v>247</v>
      </c>
      <c r="X17" s="6">
        <v>0.56597222222222221</v>
      </c>
      <c r="Y17" t="s">
        <v>40</v>
      </c>
      <c r="Z17" t="s">
        <v>247</v>
      </c>
      <c r="AA17" s="6">
        <v>0.56944444444444442</v>
      </c>
      <c r="AB17" t="s">
        <v>40</v>
      </c>
      <c r="AC17" t="s">
        <v>247</v>
      </c>
      <c r="AD17" s="6">
        <v>0.56597222222222221</v>
      </c>
      <c r="AE17" t="s">
        <v>40</v>
      </c>
      <c r="AF17" t="s">
        <v>247</v>
      </c>
      <c r="AG17" s="6">
        <v>0.56944444444444442</v>
      </c>
      <c r="AH17" t="s">
        <v>40</v>
      </c>
      <c r="AI17" t="s">
        <v>247</v>
      </c>
      <c r="AJ17" s="6">
        <v>0.56597222222222221</v>
      </c>
    </row>
    <row r="18" spans="1:36" x14ac:dyDescent="0.1">
      <c r="B18" t="s">
        <v>125</v>
      </c>
      <c r="E18" t="s">
        <v>58</v>
      </c>
      <c r="H18" t="s">
        <v>39</v>
      </c>
      <c r="K18" t="s">
        <v>965</v>
      </c>
      <c r="N18" t="s">
        <v>45</v>
      </c>
      <c r="Q18" t="s">
        <v>246</v>
      </c>
      <c r="T18" t="s">
        <v>244</v>
      </c>
      <c r="W18" t="s">
        <v>125</v>
      </c>
      <c r="Z18" t="s">
        <v>58</v>
      </c>
      <c r="AC18" t="s">
        <v>60</v>
      </c>
      <c r="AF18" t="s">
        <v>135</v>
      </c>
      <c r="AI18" t="s">
        <v>66</v>
      </c>
    </row>
    <row r="19" spans="1:36" x14ac:dyDescent="0.1">
      <c r="A19" t="s">
        <v>42</v>
      </c>
      <c r="B19" t="s">
        <v>925</v>
      </c>
      <c r="C19" s="6">
        <v>0.60416666666666663</v>
      </c>
      <c r="D19" t="s">
        <v>42</v>
      </c>
      <c r="E19" t="s">
        <v>939</v>
      </c>
      <c r="F19" s="6">
        <v>0.58680555555555558</v>
      </c>
      <c r="G19" t="s">
        <v>42</v>
      </c>
      <c r="H19" t="s">
        <v>952</v>
      </c>
      <c r="I19" s="6">
        <v>0.59027777777777779</v>
      </c>
      <c r="J19" t="s">
        <v>42</v>
      </c>
      <c r="K19" t="s">
        <v>966</v>
      </c>
      <c r="L19" s="6">
        <v>0.58680555555555558</v>
      </c>
      <c r="M19" t="s">
        <v>42</v>
      </c>
      <c r="N19" t="s">
        <v>975</v>
      </c>
      <c r="O19" s="6">
        <v>0.59027777777777779</v>
      </c>
      <c r="Q19" t="s">
        <v>33</v>
      </c>
      <c r="T19" t="s">
        <v>768</v>
      </c>
      <c r="V19" t="s">
        <v>42</v>
      </c>
      <c r="W19" t="s">
        <v>1015</v>
      </c>
      <c r="X19" s="6">
        <v>0.58680555555555558</v>
      </c>
      <c r="Y19" t="s">
        <v>42</v>
      </c>
      <c r="Z19" t="s">
        <v>1029</v>
      </c>
      <c r="AA19" s="6">
        <v>0.59027777777777779</v>
      </c>
      <c r="AB19" t="s">
        <v>42</v>
      </c>
      <c r="AC19" t="s">
        <v>1042</v>
      </c>
      <c r="AD19" s="6">
        <v>0.58680555555555558</v>
      </c>
      <c r="AE19" t="s">
        <v>42</v>
      </c>
      <c r="AF19" t="s">
        <v>1057</v>
      </c>
      <c r="AG19" s="6">
        <v>0.59027777777777779</v>
      </c>
      <c r="AH19" t="s">
        <v>42</v>
      </c>
      <c r="AI19" t="s">
        <v>1070</v>
      </c>
      <c r="AJ19" s="6">
        <v>0.58680555555555558</v>
      </c>
    </row>
    <row r="20" spans="1:36" x14ac:dyDescent="0.1">
      <c r="B20" t="s">
        <v>246</v>
      </c>
      <c r="E20" t="s">
        <v>247</v>
      </c>
      <c r="H20" t="s">
        <v>254</v>
      </c>
      <c r="K20" t="s">
        <v>247</v>
      </c>
      <c r="N20" t="s">
        <v>247</v>
      </c>
      <c r="P20" t="s">
        <v>46</v>
      </c>
      <c r="Q20" t="s">
        <v>980</v>
      </c>
      <c r="R20" s="6">
        <v>0.61111111111111116</v>
      </c>
      <c r="S20" t="s">
        <v>42</v>
      </c>
      <c r="T20" t="s">
        <v>1001</v>
      </c>
      <c r="U20" s="6">
        <v>0.59027777777777779</v>
      </c>
      <c r="W20" t="s">
        <v>254</v>
      </c>
      <c r="Z20" t="s">
        <v>246</v>
      </c>
      <c r="AC20" t="s">
        <v>247</v>
      </c>
      <c r="AF20" t="s">
        <v>247</v>
      </c>
      <c r="AI20" t="s">
        <v>247</v>
      </c>
    </row>
    <row r="21" spans="1:36" x14ac:dyDescent="0.1">
      <c r="B21" t="s">
        <v>33</v>
      </c>
      <c r="E21" t="s">
        <v>39</v>
      </c>
      <c r="H21" t="s">
        <v>37</v>
      </c>
      <c r="K21" t="s">
        <v>73</v>
      </c>
      <c r="N21" t="s">
        <v>60</v>
      </c>
      <c r="Q21" t="s">
        <v>254</v>
      </c>
      <c r="T21" t="s">
        <v>246</v>
      </c>
      <c r="W21" t="s">
        <v>69</v>
      </c>
      <c r="Z21" t="s">
        <v>33</v>
      </c>
      <c r="AC21" t="s">
        <v>48</v>
      </c>
      <c r="AF21" t="s">
        <v>73</v>
      </c>
      <c r="AI21" t="s">
        <v>60</v>
      </c>
    </row>
    <row r="22" spans="1:36" x14ac:dyDescent="0.1">
      <c r="A22" t="s">
        <v>46</v>
      </c>
      <c r="B22" t="s">
        <v>926</v>
      </c>
      <c r="C22" s="6">
        <v>0.62847222222222221</v>
      </c>
      <c r="D22" t="s">
        <v>46</v>
      </c>
      <c r="E22" t="s">
        <v>940</v>
      </c>
      <c r="F22" s="6">
        <v>0.61111111111111116</v>
      </c>
      <c r="G22" t="s">
        <v>46</v>
      </c>
      <c r="H22" t="s">
        <v>953</v>
      </c>
      <c r="I22" s="6">
        <v>0.61458333333333337</v>
      </c>
      <c r="J22" t="s">
        <v>46</v>
      </c>
      <c r="K22" t="s">
        <v>967</v>
      </c>
      <c r="L22" s="6">
        <v>0.61111111111111116</v>
      </c>
      <c r="M22" t="s">
        <v>46</v>
      </c>
      <c r="N22" t="s">
        <v>976</v>
      </c>
      <c r="O22" s="6">
        <v>0.61458333333333337</v>
      </c>
      <c r="Q22" t="s">
        <v>45</v>
      </c>
      <c r="T22" t="s">
        <v>29</v>
      </c>
      <c r="V22" t="s">
        <v>46</v>
      </c>
      <c r="W22" t="s">
        <v>1016</v>
      </c>
      <c r="X22" s="6">
        <v>0.61111111111111116</v>
      </c>
      <c r="Y22" t="s">
        <v>46</v>
      </c>
      <c r="Z22" t="s">
        <v>1030</v>
      </c>
      <c r="AA22" s="6">
        <v>0.61458333333333337</v>
      </c>
      <c r="AB22" t="s">
        <v>46</v>
      </c>
      <c r="AC22" t="s">
        <v>1043</v>
      </c>
      <c r="AD22" s="6">
        <v>0.61111111111111116</v>
      </c>
      <c r="AE22" t="s">
        <v>46</v>
      </c>
      <c r="AF22" t="s">
        <v>1058</v>
      </c>
      <c r="AG22" s="6">
        <v>0.61458333333333337</v>
      </c>
      <c r="AH22" t="s">
        <v>46</v>
      </c>
      <c r="AI22" t="s">
        <v>1071</v>
      </c>
      <c r="AJ22" s="6">
        <v>0.61111111111111116</v>
      </c>
    </row>
    <row r="23" spans="1:36" x14ac:dyDescent="0.1">
      <c r="B23" t="s">
        <v>254</v>
      </c>
      <c r="E23" t="s">
        <v>254</v>
      </c>
      <c r="H23" t="s">
        <v>254</v>
      </c>
      <c r="K23" t="s">
        <v>254</v>
      </c>
      <c r="N23" t="s">
        <v>254</v>
      </c>
      <c r="P23" t="s">
        <v>49</v>
      </c>
      <c r="Q23" t="s">
        <v>981</v>
      </c>
      <c r="R23" s="6">
        <v>0.63541666666666663</v>
      </c>
      <c r="S23" t="s">
        <v>46</v>
      </c>
      <c r="T23" t="s">
        <v>1002</v>
      </c>
      <c r="U23" s="6">
        <v>0.61458333333333337</v>
      </c>
      <c r="W23" t="s">
        <v>254</v>
      </c>
      <c r="Z23" t="s">
        <v>254</v>
      </c>
      <c r="AC23" t="s">
        <v>254</v>
      </c>
      <c r="AF23" t="s">
        <v>254</v>
      </c>
      <c r="AI23" t="s">
        <v>254</v>
      </c>
    </row>
    <row r="24" spans="1:36" x14ac:dyDescent="0.1">
      <c r="B24" t="s">
        <v>73</v>
      </c>
      <c r="E24" t="s">
        <v>45</v>
      </c>
      <c r="H24" t="s">
        <v>66</v>
      </c>
      <c r="K24" t="s">
        <v>39</v>
      </c>
      <c r="N24" t="s">
        <v>48</v>
      </c>
      <c r="Q24" t="s">
        <v>264</v>
      </c>
      <c r="T24" t="s">
        <v>254</v>
      </c>
      <c r="W24" t="s">
        <v>135</v>
      </c>
      <c r="Z24" t="s">
        <v>73</v>
      </c>
      <c r="AC24" t="s">
        <v>45</v>
      </c>
      <c r="AF24" t="s">
        <v>198</v>
      </c>
      <c r="AI24" t="s">
        <v>39</v>
      </c>
    </row>
    <row r="25" spans="1:36" x14ac:dyDescent="0.1">
      <c r="A25" t="s">
        <v>49</v>
      </c>
      <c r="B25" t="s">
        <v>927</v>
      </c>
      <c r="C25" s="6">
        <v>0.65625</v>
      </c>
      <c r="D25" t="s">
        <v>49</v>
      </c>
      <c r="E25" t="s">
        <v>941</v>
      </c>
      <c r="F25" s="6">
        <v>0.63541666666666663</v>
      </c>
      <c r="G25" t="s">
        <v>49</v>
      </c>
      <c r="H25" t="s">
        <v>954</v>
      </c>
      <c r="I25" s="6">
        <v>0.63888888888888884</v>
      </c>
      <c r="J25" t="s">
        <v>49</v>
      </c>
      <c r="K25" t="s">
        <v>968</v>
      </c>
      <c r="L25" s="6">
        <v>0.63541666666666663</v>
      </c>
      <c r="M25" t="s">
        <v>49</v>
      </c>
      <c r="N25" t="s">
        <v>977</v>
      </c>
      <c r="O25" s="6">
        <v>0.63888888888888884</v>
      </c>
      <c r="Q25" t="s">
        <v>295</v>
      </c>
      <c r="T25" t="s">
        <v>37</v>
      </c>
      <c r="V25" t="s">
        <v>49</v>
      </c>
      <c r="W25" t="s">
        <v>1017</v>
      </c>
      <c r="X25" s="6">
        <v>0.63541666666666663</v>
      </c>
      <c r="Y25" t="s">
        <v>49</v>
      </c>
      <c r="Z25" t="s">
        <v>1031</v>
      </c>
      <c r="AA25" s="6">
        <v>0.63888888888888884</v>
      </c>
      <c r="AB25" t="s">
        <v>49</v>
      </c>
      <c r="AC25" t="s">
        <v>1044</v>
      </c>
      <c r="AD25" s="6">
        <v>0.63541666666666663</v>
      </c>
      <c r="AE25" t="s">
        <v>49</v>
      </c>
      <c r="AF25" t="s">
        <v>1059</v>
      </c>
      <c r="AG25" s="6">
        <v>0.63888888888888884</v>
      </c>
      <c r="AH25" t="s">
        <v>49</v>
      </c>
      <c r="AI25" t="s">
        <v>1072</v>
      </c>
      <c r="AJ25" s="6">
        <v>0.63541666666666663</v>
      </c>
    </row>
    <row r="26" spans="1:36" x14ac:dyDescent="0.1">
      <c r="B26" t="s">
        <v>264</v>
      </c>
      <c r="E26" t="s">
        <v>250</v>
      </c>
      <c r="H26" t="s">
        <v>250</v>
      </c>
      <c r="K26" t="s">
        <v>264</v>
      </c>
      <c r="N26" t="s">
        <v>250</v>
      </c>
      <c r="P26" t="s">
        <v>53</v>
      </c>
      <c r="Q26" t="s">
        <v>247</v>
      </c>
      <c r="R26" s="6">
        <v>0.66666666666666663</v>
      </c>
      <c r="S26" t="s">
        <v>49</v>
      </c>
      <c r="T26" t="s">
        <v>1003</v>
      </c>
      <c r="U26" s="6">
        <v>0.63888888888888884</v>
      </c>
      <c r="W26" t="s">
        <v>264</v>
      </c>
      <c r="Z26" t="s">
        <v>250</v>
      </c>
      <c r="AC26" t="s">
        <v>264</v>
      </c>
      <c r="AF26" t="s">
        <v>254</v>
      </c>
      <c r="AI26" t="s">
        <v>250</v>
      </c>
    </row>
    <row r="27" spans="1:36" x14ac:dyDescent="0.1">
      <c r="B27" t="s">
        <v>928</v>
      </c>
      <c r="E27" t="s">
        <v>48</v>
      </c>
      <c r="H27" t="s">
        <v>69</v>
      </c>
      <c r="K27" t="s">
        <v>231</v>
      </c>
      <c r="N27" t="s">
        <v>198</v>
      </c>
      <c r="Q27" t="s">
        <v>39</v>
      </c>
      <c r="T27" t="s">
        <v>250</v>
      </c>
      <c r="W27" t="s">
        <v>103</v>
      </c>
      <c r="Z27" t="s">
        <v>45</v>
      </c>
      <c r="AC27" t="s">
        <v>565</v>
      </c>
      <c r="AF27" t="s">
        <v>60</v>
      </c>
      <c r="AI27" t="s">
        <v>60</v>
      </c>
    </row>
    <row r="28" spans="1:36" x14ac:dyDescent="0.1">
      <c r="A28" t="s">
        <v>53</v>
      </c>
      <c r="B28" t="s">
        <v>247</v>
      </c>
      <c r="C28" s="6">
        <v>0.68402777777777779</v>
      </c>
      <c r="D28" t="s">
        <v>53</v>
      </c>
      <c r="E28" t="s">
        <v>247</v>
      </c>
      <c r="F28" s="6">
        <v>0.66666666666666663</v>
      </c>
      <c r="G28" t="s">
        <v>53</v>
      </c>
      <c r="H28" t="s">
        <v>247</v>
      </c>
      <c r="I28" s="6">
        <v>0.66666666666666663</v>
      </c>
      <c r="J28" t="s">
        <v>53</v>
      </c>
      <c r="K28" t="s">
        <v>247</v>
      </c>
      <c r="L28" s="6">
        <v>0.66666666666666663</v>
      </c>
      <c r="M28" t="s">
        <v>53</v>
      </c>
      <c r="N28" t="s">
        <v>247</v>
      </c>
      <c r="O28" s="6">
        <v>0.66666666666666663</v>
      </c>
      <c r="T28" t="s">
        <v>39</v>
      </c>
      <c r="V28" t="s">
        <v>53</v>
      </c>
      <c r="W28" t="s">
        <v>247</v>
      </c>
      <c r="X28" s="6">
        <v>0.66666666666666663</v>
      </c>
      <c r="Y28" t="s">
        <v>53</v>
      </c>
      <c r="Z28" t="s">
        <v>247</v>
      </c>
      <c r="AA28" s="6">
        <v>0.66666666666666663</v>
      </c>
      <c r="AB28" t="s">
        <v>53</v>
      </c>
      <c r="AC28" t="s">
        <v>247</v>
      </c>
      <c r="AD28" s="6">
        <v>0.66666666666666663</v>
      </c>
      <c r="AE28" t="s">
        <v>53</v>
      </c>
      <c r="AF28" t="s">
        <v>247</v>
      </c>
      <c r="AG28" s="6">
        <v>0.66666666666666663</v>
      </c>
      <c r="AH28" t="s">
        <v>53</v>
      </c>
      <c r="AI28" t="s">
        <v>247</v>
      </c>
      <c r="AJ28" s="6">
        <v>0.66666666666666663</v>
      </c>
    </row>
    <row r="29" spans="1:36" x14ac:dyDescent="0.1">
      <c r="B29" t="s">
        <v>45</v>
      </c>
      <c r="E29" t="s">
        <v>60</v>
      </c>
      <c r="H29" t="s">
        <v>60</v>
      </c>
      <c r="K29" t="s">
        <v>39</v>
      </c>
      <c r="N29" t="s">
        <v>196</v>
      </c>
      <c r="S29" t="s">
        <v>53</v>
      </c>
      <c r="T29" t="s">
        <v>247</v>
      </c>
      <c r="U29" s="6">
        <v>0.66666666666666663</v>
      </c>
      <c r="W29" t="s">
        <v>45</v>
      </c>
      <c r="Z29" t="s">
        <v>39</v>
      </c>
      <c r="AC29" t="s">
        <v>196</v>
      </c>
      <c r="AF29" t="s">
        <v>39</v>
      </c>
      <c r="AI29" t="s">
        <v>45</v>
      </c>
    </row>
    <row r="30" spans="1:36" x14ac:dyDescent="0.1">
      <c r="T30" t="s">
        <v>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CC83-3D32-4B11-B3F3-EFCD0D5ED6DF}">
  <sheetPr codeName="Sheet7"/>
  <dimension ref="A1:X30"/>
  <sheetViews>
    <sheetView workbookViewId="0"/>
  </sheetViews>
  <sheetFormatPr defaultRowHeight="13.5" x14ac:dyDescent="0.1"/>
  <cols>
    <col min="1" max="1" width="11.1796875" bestFit="1" customWidth="1"/>
    <col min="2" max="2" width="22.36328125" bestFit="1" customWidth="1"/>
    <col min="3" max="3" width="9.26953125" bestFit="1" customWidth="1"/>
    <col min="4" max="4" width="11.1796875" bestFit="1" customWidth="1"/>
    <col min="5" max="5" width="52.49609375" bestFit="1" customWidth="1"/>
    <col min="6" max="6" width="9.26953125" bestFit="1" customWidth="1"/>
    <col min="7" max="7" width="11.1796875" bestFit="1" customWidth="1"/>
    <col min="8" max="8" width="18.1328125" bestFit="1" customWidth="1"/>
    <col min="9" max="9" width="9.26953125" bestFit="1" customWidth="1"/>
    <col min="10" max="10" width="11.1796875" bestFit="1" customWidth="1"/>
    <col min="11" max="11" width="24.26953125" bestFit="1" customWidth="1"/>
    <col min="12" max="12" width="9.26953125" bestFit="1" customWidth="1"/>
    <col min="13" max="13" width="11.1796875" bestFit="1" customWidth="1"/>
    <col min="14" max="14" width="18.54296875" bestFit="1" customWidth="1"/>
    <col min="15" max="15" width="9.26953125" bestFit="1" customWidth="1"/>
    <col min="16" max="16" width="11.1796875" bestFit="1" customWidth="1"/>
    <col min="17" max="17" width="24.26953125" bestFit="1" customWidth="1"/>
    <col min="18" max="18" width="9.26953125" bestFit="1" customWidth="1"/>
    <col min="19" max="19" width="11.1796875" bestFit="1" customWidth="1"/>
    <col min="20" max="20" width="34.2265625" bestFit="1" customWidth="1"/>
    <col min="21" max="21" width="9.26953125" bestFit="1" customWidth="1"/>
    <col min="22" max="22" width="11.1796875" bestFit="1" customWidth="1"/>
    <col min="23" max="23" width="55.76953125" bestFit="1" customWidth="1"/>
    <col min="24" max="24" width="9.26953125" bestFit="1" customWidth="1"/>
  </cols>
  <sheetData>
    <row r="1" spans="1:24" x14ac:dyDescent="0.1">
      <c r="A1" t="s">
        <v>942</v>
      </c>
      <c r="D1" t="s">
        <v>955</v>
      </c>
      <c r="G1" t="s">
        <v>969</v>
      </c>
      <c r="J1" t="s">
        <v>982</v>
      </c>
      <c r="M1" t="s">
        <v>990</v>
      </c>
      <c r="P1" t="s">
        <v>1004</v>
      </c>
      <c r="S1" t="s">
        <v>1018</v>
      </c>
      <c r="V1" t="s">
        <v>1032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25</v>
      </c>
      <c r="C3" s="6">
        <v>0.4201388888888889</v>
      </c>
      <c r="D3" t="s">
        <v>24</v>
      </c>
      <c r="E3" t="s">
        <v>25</v>
      </c>
      <c r="F3" s="6">
        <v>0.4201388888888889</v>
      </c>
      <c r="G3" t="s">
        <v>24</v>
      </c>
      <c r="H3" t="s">
        <v>25</v>
      </c>
      <c r="I3" s="6">
        <v>0.4201388888888889</v>
      </c>
      <c r="J3" t="s">
        <v>24</v>
      </c>
      <c r="K3" t="s">
        <v>25</v>
      </c>
      <c r="L3" s="6">
        <v>0.4201388888888889</v>
      </c>
      <c r="M3" t="s">
        <v>24</v>
      </c>
      <c r="N3" t="s">
        <v>25</v>
      </c>
      <c r="O3" s="6">
        <v>0.4201388888888889</v>
      </c>
      <c r="P3" t="s">
        <v>24</v>
      </c>
      <c r="Q3" t="s">
        <v>25</v>
      </c>
      <c r="R3" s="6">
        <v>0.4201388888888889</v>
      </c>
      <c r="S3" t="s">
        <v>24</v>
      </c>
      <c r="T3" t="s">
        <v>25</v>
      </c>
      <c r="U3" s="6">
        <v>0.4201388888888889</v>
      </c>
      <c r="V3" t="s">
        <v>24</v>
      </c>
      <c r="W3" t="s">
        <v>25</v>
      </c>
      <c r="X3" s="6">
        <v>0.4201388888888889</v>
      </c>
    </row>
    <row r="4" spans="1:24" x14ac:dyDescent="0.1">
      <c r="B4" t="s">
        <v>158</v>
      </c>
      <c r="E4" t="s">
        <v>77</v>
      </c>
      <c r="H4" t="s">
        <v>158</v>
      </c>
      <c r="K4" t="s">
        <v>77</v>
      </c>
      <c r="N4" t="s">
        <v>77</v>
      </c>
      <c r="Q4" t="s">
        <v>439</v>
      </c>
      <c r="T4" t="s">
        <v>158</v>
      </c>
      <c r="W4" t="s">
        <v>77</v>
      </c>
    </row>
    <row r="5" spans="1:24" x14ac:dyDescent="0.1">
      <c r="A5" t="s">
        <v>27</v>
      </c>
      <c r="B5" t="s">
        <v>247</v>
      </c>
      <c r="C5" s="6">
        <v>0.44097222222222221</v>
      </c>
      <c r="D5" t="s">
        <v>27</v>
      </c>
      <c r="E5" t="s">
        <v>25</v>
      </c>
      <c r="F5" s="6">
        <v>0.44097222222222221</v>
      </c>
      <c r="G5" t="s">
        <v>27</v>
      </c>
      <c r="H5" t="s">
        <v>25</v>
      </c>
      <c r="I5" s="6">
        <v>0.44097222222222221</v>
      </c>
      <c r="J5" t="s">
        <v>27</v>
      </c>
      <c r="K5" t="s">
        <v>25</v>
      </c>
      <c r="L5" s="6">
        <v>0.44097222222222221</v>
      </c>
      <c r="M5" t="s">
        <v>27</v>
      </c>
      <c r="N5" t="s">
        <v>247</v>
      </c>
      <c r="O5" s="6">
        <v>0.44097222222222221</v>
      </c>
      <c r="P5" t="s">
        <v>27</v>
      </c>
      <c r="Q5" t="s">
        <v>25</v>
      </c>
      <c r="R5" s="6">
        <v>0.44097222222222221</v>
      </c>
      <c r="S5" t="s">
        <v>27</v>
      </c>
      <c r="T5" t="s">
        <v>246</v>
      </c>
      <c r="U5" s="6">
        <v>0.44097222222222221</v>
      </c>
      <c r="V5" t="s">
        <v>27</v>
      </c>
      <c r="W5" t="s">
        <v>25</v>
      </c>
      <c r="X5" s="6">
        <v>0.44097222222222221</v>
      </c>
    </row>
    <row r="6" spans="1:24" x14ac:dyDescent="0.1">
      <c r="B6" t="s">
        <v>448</v>
      </c>
      <c r="E6" t="s">
        <v>407</v>
      </c>
      <c r="H6" t="s">
        <v>439</v>
      </c>
      <c r="K6" t="s">
        <v>407</v>
      </c>
      <c r="N6" t="s">
        <v>448</v>
      </c>
      <c r="Q6" t="s">
        <v>407</v>
      </c>
      <c r="T6" t="s">
        <v>77</v>
      </c>
      <c r="W6" t="s">
        <v>407</v>
      </c>
    </row>
    <row r="7" spans="1:24" x14ac:dyDescent="0.1">
      <c r="A7" t="s">
        <v>30</v>
      </c>
      <c r="B7" t="s">
        <v>25</v>
      </c>
      <c r="C7" s="6">
        <v>0.46180555555555558</v>
      </c>
      <c r="D7" t="s">
        <v>30</v>
      </c>
      <c r="E7" t="s">
        <v>25</v>
      </c>
      <c r="F7" s="6">
        <v>0.46180555555555558</v>
      </c>
      <c r="G7" t="s">
        <v>30</v>
      </c>
      <c r="H7" t="s">
        <v>25</v>
      </c>
      <c r="I7" s="6">
        <v>0.46180555555555558</v>
      </c>
      <c r="J7" t="s">
        <v>30</v>
      </c>
      <c r="K7" t="s">
        <v>25</v>
      </c>
      <c r="L7" s="6">
        <v>0.46180555555555558</v>
      </c>
      <c r="M7" t="s">
        <v>30</v>
      </c>
      <c r="N7" t="s">
        <v>25</v>
      </c>
      <c r="O7" s="6">
        <v>0.46180555555555558</v>
      </c>
      <c r="P7" t="s">
        <v>30</v>
      </c>
      <c r="Q7" t="s">
        <v>853</v>
      </c>
      <c r="R7" s="6">
        <v>0.46180555555555558</v>
      </c>
      <c r="S7" t="s">
        <v>30</v>
      </c>
      <c r="T7" t="s">
        <v>25</v>
      </c>
      <c r="U7" s="6">
        <v>0.46180555555555558</v>
      </c>
      <c r="V7" t="s">
        <v>30</v>
      </c>
      <c r="W7" t="s">
        <v>853</v>
      </c>
      <c r="X7" s="6">
        <v>0.46180555555555558</v>
      </c>
    </row>
    <row r="8" spans="1:24" x14ac:dyDescent="0.1">
      <c r="B8" t="s">
        <v>408</v>
      </c>
      <c r="E8" t="s">
        <v>406</v>
      </c>
      <c r="H8" t="s">
        <v>408</v>
      </c>
      <c r="K8" t="s">
        <v>406</v>
      </c>
      <c r="N8" t="s">
        <v>408</v>
      </c>
      <c r="Q8" t="s">
        <v>408</v>
      </c>
      <c r="T8" t="s">
        <v>408</v>
      </c>
      <c r="W8" t="s">
        <v>77</v>
      </c>
    </row>
    <row r="9" spans="1:24" x14ac:dyDescent="0.1">
      <c r="A9" t="s">
        <v>32</v>
      </c>
      <c r="B9" t="s">
        <v>853</v>
      </c>
      <c r="C9" s="6">
        <v>0.4826388888888889</v>
      </c>
      <c r="D9" t="s">
        <v>32</v>
      </c>
      <c r="E9" t="s">
        <v>247</v>
      </c>
      <c r="F9" s="6">
        <v>0.4826388888888889</v>
      </c>
      <c r="G9" t="s">
        <v>32</v>
      </c>
      <c r="H9" t="s">
        <v>247</v>
      </c>
      <c r="I9" s="6">
        <v>0.4826388888888889</v>
      </c>
      <c r="J9" t="s">
        <v>32</v>
      </c>
      <c r="K9" t="s">
        <v>853</v>
      </c>
      <c r="L9" s="6">
        <v>0.4826388888888889</v>
      </c>
      <c r="M9" t="s">
        <v>32</v>
      </c>
      <c r="N9" t="s">
        <v>853</v>
      </c>
      <c r="O9" s="6">
        <v>0.4826388888888889</v>
      </c>
      <c r="P9" t="s">
        <v>32</v>
      </c>
      <c r="Q9" t="s">
        <v>246</v>
      </c>
      <c r="R9" s="6">
        <v>0.4826388888888889</v>
      </c>
      <c r="S9" t="s">
        <v>32</v>
      </c>
      <c r="T9" t="s">
        <v>853</v>
      </c>
      <c r="U9" s="6">
        <v>0.4826388888888889</v>
      </c>
      <c r="V9" t="s">
        <v>32</v>
      </c>
      <c r="W9" t="s">
        <v>25</v>
      </c>
      <c r="X9" s="6">
        <v>0.4826388888888889</v>
      </c>
    </row>
    <row r="10" spans="1:24" x14ac:dyDescent="0.1">
      <c r="B10" t="s">
        <v>77</v>
      </c>
      <c r="E10" t="s">
        <v>114</v>
      </c>
      <c r="H10" t="s">
        <v>520</v>
      </c>
      <c r="K10" t="s">
        <v>408</v>
      </c>
      <c r="N10" t="s">
        <v>77</v>
      </c>
      <c r="Q10" t="s">
        <v>408</v>
      </c>
      <c r="T10" t="s">
        <v>408</v>
      </c>
      <c r="W10" t="s">
        <v>65</v>
      </c>
    </row>
    <row r="11" spans="1:24" x14ac:dyDescent="0.1">
      <c r="A11" t="s">
        <v>34</v>
      </c>
      <c r="B11" t="s">
        <v>853</v>
      </c>
      <c r="C11" s="6">
        <v>0.51736111111111116</v>
      </c>
      <c r="D11" t="s">
        <v>34</v>
      </c>
      <c r="E11" t="s">
        <v>853</v>
      </c>
      <c r="F11" s="6">
        <v>0.51736111111111116</v>
      </c>
      <c r="G11" t="s">
        <v>34</v>
      </c>
      <c r="H11" t="s">
        <v>853</v>
      </c>
      <c r="I11" s="6">
        <v>0.51736111111111116</v>
      </c>
      <c r="J11" t="s">
        <v>34</v>
      </c>
      <c r="K11" t="s">
        <v>853</v>
      </c>
      <c r="L11" s="6">
        <v>0.51736111111111116</v>
      </c>
      <c r="M11" t="s">
        <v>34</v>
      </c>
      <c r="N11" t="s">
        <v>25</v>
      </c>
      <c r="O11" s="6">
        <v>0.51736111111111116</v>
      </c>
      <c r="P11" t="s">
        <v>34</v>
      </c>
      <c r="Q11" t="s">
        <v>25</v>
      </c>
      <c r="R11" s="6">
        <v>0.51736111111111116</v>
      </c>
      <c r="S11" t="s">
        <v>34</v>
      </c>
      <c r="T11" t="s">
        <v>25</v>
      </c>
      <c r="U11" s="6">
        <v>0.51736111111111116</v>
      </c>
      <c r="V11" t="s">
        <v>34</v>
      </c>
      <c r="W11" t="s">
        <v>246</v>
      </c>
      <c r="X11" s="6">
        <v>0.51736111111111116</v>
      </c>
    </row>
    <row r="12" spans="1:24" x14ac:dyDescent="0.1">
      <c r="B12" t="s">
        <v>65</v>
      </c>
      <c r="E12" t="s">
        <v>76</v>
      </c>
      <c r="H12" t="s">
        <v>65</v>
      </c>
      <c r="K12" t="s">
        <v>76</v>
      </c>
      <c r="N12" t="s">
        <v>75</v>
      </c>
      <c r="Q12" t="s">
        <v>65</v>
      </c>
      <c r="T12" t="s">
        <v>184</v>
      </c>
      <c r="W12" t="s">
        <v>76</v>
      </c>
    </row>
    <row r="13" spans="1:24" x14ac:dyDescent="0.1">
      <c r="A13" t="s">
        <v>35</v>
      </c>
      <c r="B13" t="s">
        <v>25</v>
      </c>
      <c r="C13" s="6">
        <v>0.54166666666666663</v>
      </c>
      <c r="D13" t="s">
        <v>35</v>
      </c>
      <c r="E13" t="s">
        <v>247</v>
      </c>
      <c r="F13" s="6">
        <v>0.53819444444444442</v>
      </c>
      <c r="G13" t="s">
        <v>35</v>
      </c>
      <c r="H13" t="s">
        <v>25</v>
      </c>
      <c r="I13" s="6">
        <v>0.54166666666666663</v>
      </c>
      <c r="J13" t="s">
        <v>35</v>
      </c>
      <c r="K13" t="s">
        <v>25</v>
      </c>
      <c r="L13" s="6">
        <v>0.53819444444444442</v>
      </c>
      <c r="M13" t="s">
        <v>35</v>
      </c>
      <c r="N13" t="s">
        <v>25</v>
      </c>
      <c r="O13" s="6">
        <v>0.53819444444444442</v>
      </c>
      <c r="P13" t="s">
        <v>35</v>
      </c>
      <c r="Q13" t="s">
        <v>247</v>
      </c>
      <c r="R13" s="6">
        <v>0.53819444444444442</v>
      </c>
      <c r="S13" t="s">
        <v>35</v>
      </c>
      <c r="T13" t="s">
        <v>25</v>
      </c>
      <c r="U13" s="6">
        <v>0.54166666666666663</v>
      </c>
      <c r="V13" t="s">
        <v>35</v>
      </c>
      <c r="W13" t="s">
        <v>247</v>
      </c>
      <c r="X13" s="6">
        <v>0.53819444444444442</v>
      </c>
    </row>
    <row r="14" spans="1:24" x14ac:dyDescent="0.1">
      <c r="B14" t="s">
        <v>76</v>
      </c>
      <c r="E14" t="s">
        <v>414</v>
      </c>
      <c r="H14" t="s">
        <v>76</v>
      </c>
      <c r="K14" t="s">
        <v>184</v>
      </c>
      <c r="N14" t="s">
        <v>275</v>
      </c>
      <c r="Q14" t="s">
        <v>190</v>
      </c>
      <c r="T14" t="s">
        <v>76</v>
      </c>
      <c r="W14" t="s">
        <v>48</v>
      </c>
    </row>
    <row r="15" spans="1:24" x14ac:dyDescent="0.1">
      <c r="A15" t="s">
        <v>38</v>
      </c>
      <c r="B15" t="s">
        <v>246</v>
      </c>
      <c r="C15" s="6">
        <v>0.5625</v>
      </c>
      <c r="D15" t="s">
        <v>38</v>
      </c>
      <c r="E15" t="s">
        <v>254</v>
      </c>
      <c r="F15" s="6">
        <v>0.55902777777777779</v>
      </c>
      <c r="G15" t="s">
        <v>38</v>
      </c>
      <c r="H15" t="s">
        <v>246</v>
      </c>
      <c r="I15" s="6">
        <v>0.5625</v>
      </c>
      <c r="J15" t="s">
        <v>38</v>
      </c>
      <c r="K15" t="s">
        <v>254</v>
      </c>
      <c r="L15" s="6">
        <v>0.55902777777777779</v>
      </c>
      <c r="M15" t="s">
        <v>38</v>
      </c>
      <c r="N15" t="s">
        <v>246</v>
      </c>
      <c r="O15" s="6">
        <v>0.55902777777777779</v>
      </c>
      <c r="P15" t="s">
        <v>38</v>
      </c>
      <c r="Q15" t="s">
        <v>247</v>
      </c>
      <c r="R15" s="6">
        <v>0.55902777777777779</v>
      </c>
      <c r="S15" t="s">
        <v>38</v>
      </c>
      <c r="T15" t="s">
        <v>247</v>
      </c>
      <c r="U15" s="6">
        <v>0.5625</v>
      </c>
      <c r="V15" t="s">
        <v>38</v>
      </c>
      <c r="W15" t="s">
        <v>254</v>
      </c>
      <c r="X15" s="6">
        <v>0.55902777777777779</v>
      </c>
    </row>
    <row r="16" spans="1:24" x14ac:dyDescent="0.1">
      <c r="B16" t="s">
        <v>408</v>
      </c>
      <c r="E16" t="s">
        <v>60</v>
      </c>
      <c r="H16" t="s">
        <v>77</v>
      </c>
      <c r="K16" t="s">
        <v>58</v>
      </c>
      <c r="N16" t="s">
        <v>75</v>
      </c>
      <c r="Q16" t="s">
        <v>114</v>
      </c>
      <c r="T16" t="s">
        <v>114</v>
      </c>
      <c r="W16" t="s">
        <v>448</v>
      </c>
    </row>
    <row r="17" spans="1:24" x14ac:dyDescent="0.1">
      <c r="A17" t="s">
        <v>40</v>
      </c>
      <c r="B17" t="s">
        <v>254</v>
      </c>
      <c r="C17" s="6">
        <v>0.58333333333333337</v>
      </c>
      <c r="D17" t="s">
        <v>40</v>
      </c>
      <c r="E17" t="s">
        <v>254</v>
      </c>
      <c r="F17" s="6">
        <v>0.57986111111111116</v>
      </c>
      <c r="J17" t="s">
        <v>40</v>
      </c>
      <c r="K17" t="s">
        <v>254</v>
      </c>
      <c r="L17" s="6">
        <v>0.57986111111111116</v>
      </c>
      <c r="M17" t="s">
        <v>40</v>
      </c>
      <c r="N17" t="s">
        <v>254</v>
      </c>
      <c r="O17" s="6">
        <v>0.58333333333333337</v>
      </c>
      <c r="P17" t="s">
        <v>40</v>
      </c>
      <c r="Q17" t="s">
        <v>254</v>
      </c>
      <c r="R17" s="6">
        <v>0.57986111111111116</v>
      </c>
      <c r="S17" t="s">
        <v>40</v>
      </c>
      <c r="T17" t="s">
        <v>254</v>
      </c>
      <c r="U17" s="6">
        <v>0.58333333333333337</v>
      </c>
      <c r="V17" t="s">
        <v>40</v>
      </c>
      <c r="W17" t="s">
        <v>254</v>
      </c>
      <c r="X17" s="6">
        <v>0.57986111111111116</v>
      </c>
    </row>
    <row r="18" spans="1:24" x14ac:dyDescent="0.1">
      <c r="B18" t="s">
        <v>114</v>
      </c>
      <c r="E18" t="s">
        <v>448</v>
      </c>
      <c r="K18" t="s">
        <v>469</v>
      </c>
      <c r="N18" t="s">
        <v>414</v>
      </c>
      <c r="Q18" t="s">
        <v>115</v>
      </c>
      <c r="T18" t="s">
        <v>48</v>
      </c>
      <c r="W18" t="s">
        <v>111</v>
      </c>
    </row>
    <row r="19" spans="1:24" x14ac:dyDescent="0.1">
      <c r="A19" t="s">
        <v>42</v>
      </c>
      <c r="B19" t="s">
        <v>943</v>
      </c>
      <c r="C19" s="6">
        <v>0.60416666666666663</v>
      </c>
      <c r="D19" t="s">
        <v>42</v>
      </c>
      <c r="E19" t="s">
        <v>956</v>
      </c>
      <c r="F19" s="6">
        <v>0.60069444444444442</v>
      </c>
      <c r="J19" t="s">
        <v>42</v>
      </c>
      <c r="K19" t="s">
        <v>983</v>
      </c>
      <c r="L19" s="6">
        <v>0.60069444444444442</v>
      </c>
      <c r="M19" t="s">
        <v>42</v>
      </c>
      <c r="N19" t="s">
        <v>991</v>
      </c>
      <c r="O19" s="6">
        <v>0.60763888888888884</v>
      </c>
      <c r="P19" t="s">
        <v>42</v>
      </c>
      <c r="Q19" t="s">
        <v>1005</v>
      </c>
      <c r="R19" s="6">
        <v>0.60069444444444442</v>
      </c>
      <c r="S19" t="s">
        <v>42</v>
      </c>
      <c r="T19" t="s">
        <v>1019</v>
      </c>
      <c r="U19" s="6">
        <v>0.60416666666666663</v>
      </c>
      <c r="V19" t="s">
        <v>42</v>
      </c>
      <c r="W19" t="s">
        <v>1033</v>
      </c>
      <c r="X19" s="6">
        <v>0.60069444444444442</v>
      </c>
    </row>
    <row r="20" spans="1:24" x14ac:dyDescent="0.1">
      <c r="B20" t="s">
        <v>250</v>
      </c>
      <c r="E20" t="s">
        <v>246</v>
      </c>
      <c r="K20" t="s">
        <v>246</v>
      </c>
      <c r="N20" t="s">
        <v>254</v>
      </c>
      <c r="Q20" t="s">
        <v>250</v>
      </c>
      <c r="T20" t="s">
        <v>246</v>
      </c>
      <c r="W20" t="s">
        <v>225</v>
      </c>
    </row>
    <row r="21" spans="1:24" x14ac:dyDescent="0.1">
      <c r="B21" t="s">
        <v>442</v>
      </c>
      <c r="E21" t="s">
        <v>65</v>
      </c>
      <c r="K21" t="s">
        <v>184</v>
      </c>
      <c r="N21" t="s">
        <v>190</v>
      </c>
      <c r="Q21" t="s">
        <v>115</v>
      </c>
      <c r="T21" t="s">
        <v>29</v>
      </c>
      <c r="W21" t="s">
        <v>486</v>
      </c>
    </row>
    <row r="22" spans="1:24" x14ac:dyDescent="0.1">
      <c r="A22" t="s">
        <v>46</v>
      </c>
      <c r="B22" t="s">
        <v>944</v>
      </c>
      <c r="C22" s="6">
        <v>0.62847222222222221</v>
      </c>
      <c r="D22" t="s">
        <v>46</v>
      </c>
      <c r="E22" t="s">
        <v>957</v>
      </c>
      <c r="F22" s="6">
        <v>0.625</v>
      </c>
      <c r="J22" t="s">
        <v>46</v>
      </c>
      <c r="K22" t="s">
        <v>984</v>
      </c>
      <c r="L22" s="6">
        <v>0.625</v>
      </c>
      <c r="M22" t="s">
        <v>46</v>
      </c>
      <c r="N22" t="s">
        <v>992</v>
      </c>
      <c r="O22" s="6">
        <v>0.63194444444444442</v>
      </c>
      <c r="P22" t="s">
        <v>46</v>
      </c>
      <c r="Q22" t="s">
        <v>1006</v>
      </c>
      <c r="R22" s="6">
        <v>0.625</v>
      </c>
      <c r="S22" t="s">
        <v>46</v>
      </c>
      <c r="T22" t="s">
        <v>1020</v>
      </c>
      <c r="U22" s="6">
        <v>0.62847222222222221</v>
      </c>
      <c r="V22" t="s">
        <v>46</v>
      </c>
      <c r="W22" t="s">
        <v>1034</v>
      </c>
      <c r="X22" s="6">
        <v>0.625</v>
      </c>
    </row>
    <row r="23" spans="1:24" x14ac:dyDescent="0.1">
      <c r="B23" t="s">
        <v>225</v>
      </c>
      <c r="E23" t="s">
        <v>250</v>
      </c>
      <c r="K23" t="s">
        <v>250</v>
      </c>
      <c r="N23" t="s">
        <v>250</v>
      </c>
      <c r="Q23" t="s">
        <v>264</v>
      </c>
      <c r="T23" t="s">
        <v>250</v>
      </c>
      <c r="W23" t="s">
        <v>250</v>
      </c>
    </row>
    <row r="24" spans="1:24" x14ac:dyDescent="0.1">
      <c r="B24" t="s">
        <v>169</v>
      </c>
      <c r="E24" t="s">
        <v>111</v>
      </c>
      <c r="K24" t="s">
        <v>58</v>
      </c>
      <c r="N24" t="s">
        <v>114</v>
      </c>
      <c r="Q24" t="s">
        <v>356</v>
      </c>
      <c r="T24" t="s">
        <v>448</v>
      </c>
      <c r="W24" t="s">
        <v>203</v>
      </c>
    </row>
    <row r="25" spans="1:24" x14ac:dyDescent="0.1">
      <c r="A25" t="s">
        <v>49</v>
      </c>
      <c r="B25" t="s">
        <v>945</v>
      </c>
      <c r="C25" s="6">
        <v>0.65625</v>
      </c>
      <c r="D25" t="s">
        <v>49</v>
      </c>
      <c r="E25" t="s">
        <v>958</v>
      </c>
      <c r="F25" s="6">
        <v>0.65625</v>
      </c>
      <c r="J25" t="s">
        <v>49</v>
      </c>
      <c r="K25" t="s">
        <v>985</v>
      </c>
      <c r="L25" s="6">
        <v>0.65625</v>
      </c>
      <c r="M25" t="s">
        <v>49</v>
      </c>
      <c r="N25" t="s">
        <v>993</v>
      </c>
      <c r="O25" s="6">
        <v>0.65625</v>
      </c>
      <c r="P25" t="s">
        <v>49</v>
      </c>
      <c r="Q25" t="s">
        <v>1007</v>
      </c>
      <c r="R25" s="6">
        <v>0.65625</v>
      </c>
      <c r="S25" t="s">
        <v>49</v>
      </c>
      <c r="T25" t="s">
        <v>1021</v>
      </c>
      <c r="U25" s="6">
        <v>0.65625</v>
      </c>
      <c r="V25" t="s">
        <v>49</v>
      </c>
      <c r="W25" t="s">
        <v>1035</v>
      </c>
      <c r="X25" s="6">
        <v>0.65277777777777779</v>
      </c>
    </row>
    <row r="26" spans="1:24" x14ac:dyDescent="0.1">
      <c r="B26" t="s">
        <v>264</v>
      </c>
      <c r="E26" t="s">
        <v>959</v>
      </c>
      <c r="K26" t="s">
        <v>264</v>
      </c>
      <c r="N26" t="s">
        <v>994</v>
      </c>
      <c r="Q26" t="s">
        <v>1008</v>
      </c>
      <c r="T26" t="s">
        <v>264</v>
      </c>
      <c r="W26" t="s">
        <v>264</v>
      </c>
    </row>
    <row r="27" spans="1:24" x14ac:dyDescent="0.1">
      <c r="B27" t="s">
        <v>295</v>
      </c>
      <c r="E27" t="s">
        <v>264</v>
      </c>
      <c r="K27" t="s">
        <v>181</v>
      </c>
      <c r="N27" t="s">
        <v>225</v>
      </c>
      <c r="Q27" t="s">
        <v>225</v>
      </c>
      <c r="T27" t="s">
        <v>1022</v>
      </c>
      <c r="W27" t="s">
        <v>414</v>
      </c>
    </row>
    <row r="28" spans="1:24" x14ac:dyDescent="0.1">
      <c r="A28" t="s">
        <v>53</v>
      </c>
      <c r="B28" t="s">
        <v>247</v>
      </c>
      <c r="C28" s="6">
        <v>0.68402777777777779</v>
      </c>
      <c r="E28" t="s">
        <v>366</v>
      </c>
      <c r="J28" t="s">
        <v>53</v>
      </c>
      <c r="K28" t="s">
        <v>247</v>
      </c>
      <c r="L28" s="6">
        <v>0.68402777777777779</v>
      </c>
      <c r="N28" t="s">
        <v>217</v>
      </c>
      <c r="Q28" t="s">
        <v>65</v>
      </c>
      <c r="S28" t="s">
        <v>53</v>
      </c>
      <c r="T28" t="s">
        <v>247</v>
      </c>
      <c r="U28" s="6">
        <v>0.68402777777777779</v>
      </c>
      <c r="V28" t="s">
        <v>53</v>
      </c>
      <c r="W28" t="s">
        <v>1036</v>
      </c>
      <c r="X28" s="6">
        <v>0.68402777777777779</v>
      </c>
    </row>
    <row r="29" spans="1:24" x14ac:dyDescent="0.1">
      <c r="B29" t="s">
        <v>48</v>
      </c>
      <c r="D29" t="s">
        <v>53</v>
      </c>
      <c r="E29" t="s">
        <v>25</v>
      </c>
      <c r="F29" s="6">
        <v>0.68402777777777779</v>
      </c>
      <c r="K29" t="s">
        <v>469</v>
      </c>
      <c r="M29" t="s">
        <v>53</v>
      </c>
      <c r="N29" t="s">
        <v>247</v>
      </c>
      <c r="O29" s="6">
        <v>0.68402777777777779</v>
      </c>
      <c r="P29" t="s">
        <v>53</v>
      </c>
      <c r="Q29" t="s">
        <v>254</v>
      </c>
      <c r="R29" s="6">
        <v>0.68402777777777779</v>
      </c>
      <c r="T29" t="s">
        <v>414</v>
      </c>
      <c r="W29" t="s">
        <v>254</v>
      </c>
    </row>
    <row r="30" spans="1:24" x14ac:dyDescent="0.1">
      <c r="E30" t="s">
        <v>65</v>
      </c>
      <c r="N30" t="s">
        <v>115</v>
      </c>
      <c r="Q30" t="s">
        <v>114</v>
      </c>
      <c r="W30" t="s">
        <v>114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2BE3-81D7-499A-86AC-C5345F4628CE}">
  <sheetPr codeName="Sheet8"/>
  <dimension ref="A1:R30"/>
  <sheetViews>
    <sheetView workbookViewId="0"/>
  </sheetViews>
  <sheetFormatPr defaultRowHeight="13.5" x14ac:dyDescent="0.1"/>
  <cols>
    <col min="1" max="1" width="11.1796875" bestFit="1" customWidth="1"/>
    <col min="2" max="2" width="18.81640625" bestFit="1" customWidth="1"/>
    <col min="3" max="3" width="9.26953125" bestFit="1" customWidth="1"/>
    <col min="4" max="4" width="11.1796875" bestFit="1" customWidth="1"/>
    <col min="5" max="5" width="34.6328125" bestFit="1" customWidth="1"/>
    <col min="6" max="6" width="9.26953125" bestFit="1" customWidth="1"/>
    <col min="7" max="7" width="11.1796875" bestFit="1" customWidth="1"/>
    <col min="8" max="8" width="22.76953125" bestFit="1" customWidth="1"/>
    <col min="9" max="9" width="9.26953125" bestFit="1" customWidth="1"/>
    <col min="10" max="10" width="11.1796875" bestFit="1" customWidth="1"/>
    <col min="11" max="11" width="23.04296875" bestFit="1" customWidth="1"/>
    <col min="12" max="12" width="9.26953125" bestFit="1" customWidth="1"/>
    <col min="13" max="13" width="11.1796875" bestFit="1" customWidth="1"/>
    <col min="14" max="14" width="18.81640625" bestFit="1" customWidth="1"/>
    <col min="15" max="15" width="9.26953125" bestFit="1" customWidth="1"/>
    <col min="16" max="16" width="11.1796875" bestFit="1" customWidth="1"/>
    <col min="17" max="17" width="23.7265625" bestFit="1" customWidth="1"/>
    <col min="18" max="18" width="9.26953125" bestFit="1" customWidth="1"/>
  </cols>
  <sheetData>
    <row r="1" spans="1:18" x14ac:dyDescent="0.1">
      <c r="A1" t="s">
        <v>946</v>
      </c>
      <c r="D1" t="s">
        <v>960</v>
      </c>
      <c r="G1" t="s">
        <v>970</v>
      </c>
      <c r="J1" t="s">
        <v>986</v>
      </c>
      <c r="M1" t="s">
        <v>995</v>
      </c>
      <c r="P1" t="s">
        <v>1009</v>
      </c>
    </row>
    <row r="2" spans="1:18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</row>
    <row r="3" spans="1:18" x14ac:dyDescent="0.1">
      <c r="A3" t="s">
        <v>24</v>
      </c>
      <c r="B3" t="s">
        <v>25</v>
      </c>
      <c r="C3" s="6">
        <v>0.41319444444444442</v>
      </c>
      <c r="D3" t="s">
        <v>24</v>
      </c>
      <c r="E3" t="s">
        <v>25</v>
      </c>
      <c r="F3" s="6">
        <v>0.41319444444444442</v>
      </c>
      <c r="G3" t="s">
        <v>24</v>
      </c>
      <c r="H3" t="s">
        <v>25</v>
      </c>
      <c r="I3" s="6">
        <v>0.41319444444444442</v>
      </c>
      <c r="J3" t="s">
        <v>24</v>
      </c>
      <c r="K3" t="s">
        <v>25</v>
      </c>
      <c r="L3" s="6">
        <v>0.41319444444444442</v>
      </c>
      <c r="M3" t="s">
        <v>24</v>
      </c>
      <c r="N3" t="s">
        <v>25</v>
      </c>
      <c r="O3" s="6">
        <v>0.40972222222222221</v>
      </c>
      <c r="P3" t="s">
        <v>24</v>
      </c>
      <c r="Q3" t="s">
        <v>25</v>
      </c>
      <c r="R3" s="6">
        <v>0.41319444444444442</v>
      </c>
    </row>
    <row r="4" spans="1:18" x14ac:dyDescent="0.1">
      <c r="B4" t="s">
        <v>222</v>
      </c>
      <c r="E4" t="s">
        <v>84</v>
      </c>
      <c r="H4" t="s">
        <v>89</v>
      </c>
      <c r="K4" t="s">
        <v>122</v>
      </c>
      <c r="N4" t="s">
        <v>84</v>
      </c>
      <c r="Q4" t="s">
        <v>89</v>
      </c>
    </row>
    <row r="5" spans="1:18" x14ac:dyDescent="0.1">
      <c r="A5" t="s">
        <v>27</v>
      </c>
      <c r="B5" t="s">
        <v>25</v>
      </c>
      <c r="C5" s="6">
        <v>0.43402777777777779</v>
      </c>
      <c r="D5" t="s">
        <v>27</v>
      </c>
      <c r="E5" t="s">
        <v>25</v>
      </c>
      <c r="F5" s="6">
        <v>0.43402777777777779</v>
      </c>
      <c r="G5" t="s">
        <v>27</v>
      </c>
      <c r="H5" t="s">
        <v>25</v>
      </c>
      <c r="I5" s="6">
        <v>0.43402777777777779</v>
      </c>
      <c r="J5" t="s">
        <v>27</v>
      </c>
      <c r="K5" t="s">
        <v>25</v>
      </c>
      <c r="L5" s="6">
        <v>0.43402777777777779</v>
      </c>
      <c r="M5" t="s">
        <v>27</v>
      </c>
      <c r="N5" t="s">
        <v>25</v>
      </c>
      <c r="O5" s="6">
        <v>0.43055555555555558</v>
      </c>
      <c r="P5" t="s">
        <v>27</v>
      </c>
      <c r="Q5" t="s">
        <v>853</v>
      </c>
      <c r="R5" s="6">
        <v>0.43402777777777779</v>
      </c>
    </row>
    <row r="6" spans="1:18" x14ac:dyDescent="0.1">
      <c r="B6" t="s">
        <v>89</v>
      </c>
      <c r="E6" t="s">
        <v>122</v>
      </c>
      <c r="H6" t="s">
        <v>134</v>
      </c>
      <c r="K6" t="s">
        <v>89</v>
      </c>
      <c r="N6" t="s">
        <v>122</v>
      </c>
      <c r="Q6" t="s">
        <v>122</v>
      </c>
    </row>
    <row r="7" spans="1:18" x14ac:dyDescent="0.1">
      <c r="A7" t="s">
        <v>30</v>
      </c>
      <c r="B7" t="s">
        <v>25</v>
      </c>
      <c r="C7" s="6">
        <v>0.4548611111111111</v>
      </c>
      <c r="D7" t="s">
        <v>30</v>
      </c>
      <c r="E7" t="s">
        <v>25</v>
      </c>
      <c r="F7" s="6">
        <v>0.4548611111111111</v>
      </c>
      <c r="G7" t="s">
        <v>30</v>
      </c>
      <c r="H7" t="s">
        <v>25</v>
      </c>
      <c r="I7" s="6">
        <v>0.4548611111111111</v>
      </c>
      <c r="J7" t="s">
        <v>30</v>
      </c>
      <c r="K7" t="s">
        <v>25</v>
      </c>
      <c r="L7" s="6">
        <v>0.4548611111111111</v>
      </c>
      <c r="M7" t="s">
        <v>30</v>
      </c>
      <c r="N7" t="s">
        <v>25</v>
      </c>
      <c r="O7" s="6">
        <v>0.4513888888888889</v>
      </c>
      <c r="P7" t="s">
        <v>30</v>
      </c>
      <c r="Q7" t="s">
        <v>25</v>
      </c>
      <c r="R7" s="6">
        <v>0.4548611111111111</v>
      </c>
    </row>
    <row r="8" spans="1:18" x14ac:dyDescent="0.1">
      <c r="B8" t="s">
        <v>77</v>
      </c>
      <c r="E8" t="s">
        <v>134</v>
      </c>
      <c r="H8" t="s">
        <v>77</v>
      </c>
      <c r="K8" t="s">
        <v>158</v>
      </c>
      <c r="N8" t="s">
        <v>134</v>
      </c>
      <c r="Q8" t="s">
        <v>77</v>
      </c>
    </row>
    <row r="9" spans="1:18" x14ac:dyDescent="0.1">
      <c r="A9" t="s">
        <v>32</v>
      </c>
      <c r="B9" t="s">
        <v>25</v>
      </c>
      <c r="C9" s="6">
        <v>0.47569444444444442</v>
      </c>
      <c r="D9" t="s">
        <v>32</v>
      </c>
      <c r="E9" t="s">
        <v>853</v>
      </c>
      <c r="F9" s="6">
        <v>0.47569444444444442</v>
      </c>
      <c r="G9" t="s">
        <v>32</v>
      </c>
      <c r="H9" t="s">
        <v>853</v>
      </c>
      <c r="I9" s="6">
        <v>0.47569444444444442</v>
      </c>
      <c r="J9" t="s">
        <v>32</v>
      </c>
      <c r="K9" t="s">
        <v>247</v>
      </c>
      <c r="L9" s="6">
        <v>0.47569444444444442</v>
      </c>
      <c r="M9" t="s">
        <v>32</v>
      </c>
      <c r="N9" t="s">
        <v>25</v>
      </c>
      <c r="O9" s="6">
        <v>0.47222222222222221</v>
      </c>
      <c r="P9" t="s">
        <v>32</v>
      </c>
      <c r="Q9" t="s">
        <v>246</v>
      </c>
      <c r="R9" s="6">
        <v>0.47569444444444442</v>
      </c>
    </row>
    <row r="10" spans="1:18" x14ac:dyDescent="0.1">
      <c r="B10" t="s">
        <v>89</v>
      </c>
      <c r="E10" t="s">
        <v>77</v>
      </c>
      <c r="H10" t="s">
        <v>89</v>
      </c>
      <c r="K10" t="s">
        <v>78</v>
      </c>
      <c r="N10" t="s">
        <v>77</v>
      </c>
      <c r="Q10" t="s">
        <v>134</v>
      </c>
    </row>
    <row r="11" spans="1:18" x14ac:dyDescent="0.1">
      <c r="A11" t="s">
        <v>34</v>
      </c>
      <c r="B11" t="s">
        <v>853</v>
      </c>
      <c r="C11" s="6">
        <v>0.51041666666666663</v>
      </c>
      <c r="D11" t="s">
        <v>34</v>
      </c>
      <c r="E11" t="s">
        <v>25</v>
      </c>
      <c r="F11" s="6">
        <v>0.51041666666666663</v>
      </c>
      <c r="G11" t="s">
        <v>34</v>
      </c>
      <c r="H11" t="s">
        <v>25</v>
      </c>
      <c r="I11" s="6">
        <v>0.51041666666666663</v>
      </c>
      <c r="J11" t="s">
        <v>34</v>
      </c>
      <c r="K11" t="s">
        <v>853</v>
      </c>
      <c r="L11" s="6">
        <v>0.51041666666666663</v>
      </c>
      <c r="M11" t="s">
        <v>34</v>
      </c>
      <c r="N11" t="s">
        <v>853</v>
      </c>
      <c r="O11" s="6">
        <v>0.50694444444444442</v>
      </c>
      <c r="P11" t="s">
        <v>34</v>
      </c>
      <c r="Q11" t="s">
        <v>25</v>
      </c>
      <c r="R11" s="6">
        <v>0.51041666666666663</v>
      </c>
    </row>
    <row r="12" spans="1:18" x14ac:dyDescent="0.1">
      <c r="B12" t="s">
        <v>29</v>
      </c>
      <c r="E12" t="s">
        <v>29</v>
      </c>
      <c r="H12" t="s">
        <v>217</v>
      </c>
      <c r="K12" t="s">
        <v>76</v>
      </c>
      <c r="N12" t="s">
        <v>89</v>
      </c>
      <c r="Q12" t="s">
        <v>228</v>
      </c>
    </row>
    <row r="13" spans="1:18" x14ac:dyDescent="0.1">
      <c r="A13" t="s">
        <v>35</v>
      </c>
      <c r="B13" t="s">
        <v>25</v>
      </c>
      <c r="C13" s="6">
        <v>0.53472222222222221</v>
      </c>
      <c r="D13" t="s">
        <v>35</v>
      </c>
      <c r="E13" t="s">
        <v>246</v>
      </c>
      <c r="F13" s="6">
        <v>0.53125</v>
      </c>
      <c r="G13" t="s">
        <v>35</v>
      </c>
      <c r="H13" t="s">
        <v>246</v>
      </c>
      <c r="I13" s="6">
        <v>0.53472222222222221</v>
      </c>
      <c r="J13" t="s">
        <v>35</v>
      </c>
      <c r="K13" t="s">
        <v>25</v>
      </c>
      <c r="L13" s="6">
        <v>0.53125</v>
      </c>
      <c r="M13" t="s">
        <v>35</v>
      </c>
      <c r="N13" t="s">
        <v>25</v>
      </c>
      <c r="O13" s="6">
        <v>0.52777777777777779</v>
      </c>
      <c r="P13" t="s">
        <v>35</v>
      </c>
      <c r="Q13" t="s">
        <v>25</v>
      </c>
      <c r="R13" s="6">
        <v>0.53125</v>
      </c>
    </row>
    <row r="14" spans="1:18" x14ac:dyDescent="0.1">
      <c r="B14" t="s">
        <v>76</v>
      </c>
      <c r="E14" t="s">
        <v>158</v>
      </c>
      <c r="H14" t="s">
        <v>77</v>
      </c>
      <c r="K14" t="s">
        <v>354</v>
      </c>
      <c r="N14" t="s">
        <v>90</v>
      </c>
      <c r="Q14" t="s">
        <v>76</v>
      </c>
    </row>
    <row r="15" spans="1:18" x14ac:dyDescent="0.1">
      <c r="A15" t="s">
        <v>38</v>
      </c>
      <c r="B15" t="s">
        <v>246</v>
      </c>
      <c r="C15" s="6">
        <v>0.55555555555555558</v>
      </c>
      <c r="D15" t="s">
        <v>38</v>
      </c>
      <c r="E15" t="s">
        <v>247</v>
      </c>
      <c r="F15" s="6">
        <v>0.55208333333333337</v>
      </c>
      <c r="G15" t="s">
        <v>38</v>
      </c>
      <c r="H15" t="s">
        <v>247</v>
      </c>
      <c r="I15" s="6">
        <v>0.55555555555555558</v>
      </c>
      <c r="J15" t="s">
        <v>38</v>
      </c>
      <c r="K15" t="s">
        <v>247</v>
      </c>
      <c r="L15" s="6">
        <v>0.55208333333333337</v>
      </c>
      <c r="M15" t="s">
        <v>38</v>
      </c>
      <c r="N15" t="s">
        <v>247</v>
      </c>
      <c r="O15" s="6">
        <v>0.54861111111111116</v>
      </c>
      <c r="P15" t="s">
        <v>38</v>
      </c>
      <c r="Q15" t="s">
        <v>247</v>
      </c>
      <c r="R15" s="6">
        <v>0.55208333333333337</v>
      </c>
    </row>
    <row r="16" spans="1:18" x14ac:dyDescent="0.1">
      <c r="B16" t="s">
        <v>89</v>
      </c>
      <c r="E16" t="s">
        <v>78</v>
      </c>
      <c r="H16" t="s">
        <v>268</v>
      </c>
      <c r="K16" t="s">
        <v>113</v>
      </c>
      <c r="N16" t="s">
        <v>114</v>
      </c>
      <c r="Q16" t="s">
        <v>78</v>
      </c>
    </row>
    <row r="17" spans="1:18" x14ac:dyDescent="0.1">
      <c r="A17" t="s">
        <v>40</v>
      </c>
      <c r="B17" t="s">
        <v>247</v>
      </c>
      <c r="C17" s="6">
        <v>0.57638888888888884</v>
      </c>
      <c r="D17" t="s">
        <v>40</v>
      </c>
      <c r="E17" t="s">
        <v>247</v>
      </c>
      <c r="F17" s="6">
        <v>0.57291666666666663</v>
      </c>
      <c r="G17" t="s">
        <v>40</v>
      </c>
      <c r="H17" t="s">
        <v>254</v>
      </c>
      <c r="I17" s="6">
        <v>0.57638888888888884</v>
      </c>
      <c r="J17" t="s">
        <v>40</v>
      </c>
      <c r="K17" t="s">
        <v>254</v>
      </c>
      <c r="L17" s="6">
        <v>0.57291666666666663</v>
      </c>
      <c r="M17" t="s">
        <v>40</v>
      </c>
      <c r="N17" t="s">
        <v>254</v>
      </c>
      <c r="O17" s="6">
        <v>0.57291666666666663</v>
      </c>
      <c r="P17" t="s">
        <v>40</v>
      </c>
      <c r="Q17" t="s">
        <v>247</v>
      </c>
      <c r="R17" s="6">
        <v>0.57291666666666663</v>
      </c>
    </row>
    <row r="18" spans="1:18" x14ac:dyDescent="0.1">
      <c r="B18" t="s">
        <v>162</v>
      </c>
      <c r="E18" t="s">
        <v>114</v>
      </c>
      <c r="H18" t="s">
        <v>60</v>
      </c>
      <c r="K18" t="s">
        <v>39</v>
      </c>
      <c r="N18" t="s">
        <v>162</v>
      </c>
      <c r="Q18" t="s">
        <v>60</v>
      </c>
    </row>
    <row r="19" spans="1:18" x14ac:dyDescent="0.1">
      <c r="A19" t="s">
        <v>42</v>
      </c>
      <c r="B19" t="s">
        <v>947</v>
      </c>
      <c r="C19" s="6">
        <v>0.59722222222222221</v>
      </c>
      <c r="D19" t="s">
        <v>42</v>
      </c>
      <c r="E19" t="s">
        <v>961</v>
      </c>
      <c r="F19" s="6">
        <v>0.59375</v>
      </c>
      <c r="G19" t="s">
        <v>42</v>
      </c>
      <c r="H19" t="s">
        <v>971</v>
      </c>
      <c r="I19" s="6">
        <v>0.59722222222222221</v>
      </c>
      <c r="J19" t="s">
        <v>42</v>
      </c>
      <c r="K19" t="s">
        <v>987</v>
      </c>
      <c r="L19" s="6">
        <v>0.59375</v>
      </c>
      <c r="M19" t="s">
        <v>42</v>
      </c>
      <c r="N19" t="s">
        <v>996</v>
      </c>
      <c r="O19" s="6">
        <v>0.59722222222222221</v>
      </c>
      <c r="P19" t="s">
        <v>42</v>
      </c>
      <c r="Q19" t="s">
        <v>1010</v>
      </c>
      <c r="R19" s="6">
        <v>0.59375</v>
      </c>
    </row>
    <row r="20" spans="1:18" x14ac:dyDescent="0.1">
      <c r="B20" t="s">
        <v>254</v>
      </c>
      <c r="E20" t="s">
        <v>254</v>
      </c>
      <c r="H20" t="s">
        <v>250</v>
      </c>
      <c r="K20" t="s">
        <v>250</v>
      </c>
      <c r="N20" t="s">
        <v>246</v>
      </c>
      <c r="Q20" t="s">
        <v>254</v>
      </c>
    </row>
    <row r="21" spans="1:18" x14ac:dyDescent="0.1">
      <c r="B21" t="s">
        <v>114</v>
      </c>
      <c r="E21" t="s">
        <v>78</v>
      </c>
      <c r="H21" t="s">
        <v>188</v>
      </c>
      <c r="K21" t="s">
        <v>171</v>
      </c>
      <c r="N21" t="s">
        <v>76</v>
      </c>
      <c r="Q21" t="s">
        <v>185</v>
      </c>
    </row>
    <row r="22" spans="1:18" x14ac:dyDescent="0.1">
      <c r="A22" t="s">
        <v>46</v>
      </c>
      <c r="B22" t="s">
        <v>948</v>
      </c>
      <c r="C22" s="6">
        <v>0.62152777777777779</v>
      </c>
      <c r="D22" t="s">
        <v>46</v>
      </c>
      <c r="E22" t="s">
        <v>962</v>
      </c>
      <c r="F22" s="6">
        <v>0.61805555555555558</v>
      </c>
      <c r="G22" t="s">
        <v>46</v>
      </c>
      <c r="H22" t="s">
        <v>972</v>
      </c>
      <c r="I22" s="6">
        <v>0.62152777777777779</v>
      </c>
      <c r="J22" t="s">
        <v>46</v>
      </c>
      <c r="K22" t="s">
        <v>988</v>
      </c>
      <c r="L22" s="6">
        <v>0.61805555555555558</v>
      </c>
      <c r="M22" t="s">
        <v>46</v>
      </c>
      <c r="N22" t="s">
        <v>997</v>
      </c>
      <c r="O22" s="6">
        <v>0.62152777777777779</v>
      </c>
      <c r="P22" t="s">
        <v>46</v>
      </c>
      <c r="Q22" t="s">
        <v>1011</v>
      </c>
      <c r="R22" s="6">
        <v>0.61805555555555558</v>
      </c>
    </row>
    <row r="23" spans="1:18" x14ac:dyDescent="0.1">
      <c r="B23" t="s">
        <v>254</v>
      </c>
      <c r="E23" t="s">
        <v>250</v>
      </c>
      <c r="H23" t="s">
        <v>225</v>
      </c>
      <c r="K23" t="s">
        <v>264</v>
      </c>
      <c r="N23" t="s">
        <v>250</v>
      </c>
      <c r="Q23" t="s">
        <v>250</v>
      </c>
    </row>
    <row r="24" spans="1:18" x14ac:dyDescent="0.1">
      <c r="B24" t="s">
        <v>507</v>
      </c>
      <c r="E24" t="s">
        <v>505</v>
      </c>
      <c r="H24" t="s">
        <v>273</v>
      </c>
      <c r="K24" t="s">
        <v>188</v>
      </c>
      <c r="N24" t="s">
        <v>60</v>
      </c>
      <c r="Q24" t="s">
        <v>78</v>
      </c>
    </row>
    <row r="25" spans="1:18" x14ac:dyDescent="0.1">
      <c r="A25" t="s">
        <v>49</v>
      </c>
      <c r="B25" t="s">
        <v>949</v>
      </c>
      <c r="C25" s="6">
        <v>0.64583333333333337</v>
      </c>
      <c r="D25" t="s">
        <v>49</v>
      </c>
      <c r="E25" t="s">
        <v>963</v>
      </c>
      <c r="F25" s="6">
        <v>0.64583333333333337</v>
      </c>
      <c r="G25" t="s">
        <v>49</v>
      </c>
      <c r="H25" t="s">
        <v>973</v>
      </c>
      <c r="I25" s="6">
        <v>0.64583333333333337</v>
      </c>
      <c r="J25" t="s">
        <v>49</v>
      </c>
      <c r="K25" t="s">
        <v>989</v>
      </c>
      <c r="L25" s="6">
        <v>0.64583333333333337</v>
      </c>
      <c r="M25" t="s">
        <v>49</v>
      </c>
      <c r="N25" t="s">
        <v>998</v>
      </c>
      <c r="O25" s="6">
        <v>0.64583333333333337</v>
      </c>
      <c r="P25" t="s">
        <v>49</v>
      </c>
      <c r="Q25" t="s">
        <v>1012</v>
      </c>
      <c r="R25" s="6">
        <v>0.64583333333333337</v>
      </c>
    </row>
    <row r="26" spans="1:18" x14ac:dyDescent="0.1">
      <c r="B26" t="s">
        <v>250</v>
      </c>
      <c r="E26" t="s">
        <v>264</v>
      </c>
      <c r="H26" t="s">
        <v>264</v>
      </c>
      <c r="K26" t="s">
        <v>225</v>
      </c>
      <c r="N26" t="s">
        <v>264</v>
      </c>
      <c r="Q26" t="s">
        <v>1013</v>
      </c>
    </row>
    <row r="27" spans="1:18" x14ac:dyDescent="0.1">
      <c r="B27" t="s">
        <v>113</v>
      </c>
      <c r="E27" t="s">
        <v>69</v>
      </c>
      <c r="H27" t="s">
        <v>554</v>
      </c>
      <c r="K27" t="s">
        <v>90</v>
      </c>
      <c r="N27" t="s">
        <v>167</v>
      </c>
      <c r="Q27" t="s">
        <v>264</v>
      </c>
    </row>
    <row r="28" spans="1:18" x14ac:dyDescent="0.1">
      <c r="A28" t="s">
        <v>53</v>
      </c>
      <c r="B28" t="s">
        <v>247</v>
      </c>
      <c r="C28" s="6">
        <v>0.67361111111111116</v>
      </c>
      <c r="D28" t="s">
        <v>53</v>
      </c>
      <c r="E28" t="s">
        <v>254</v>
      </c>
      <c r="F28" s="6">
        <v>0.67361111111111116</v>
      </c>
      <c r="G28" t="s">
        <v>53</v>
      </c>
      <c r="H28" t="s">
        <v>247</v>
      </c>
      <c r="I28" s="6">
        <v>0.67361111111111116</v>
      </c>
      <c r="J28" t="s">
        <v>53</v>
      </c>
      <c r="K28" t="s">
        <v>254</v>
      </c>
      <c r="L28" s="6">
        <v>0.67361111111111116</v>
      </c>
      <c r="M28" t="s">
        <v>53</v>
      </c>
      <c r="N28" t="s">
        <v>247</v>
      </c>
      <c r="O28" s="6">
        <v>0.67361111111111116</v>
      </c>
      <c r="Q28" t="s">
        <v>933</v>
      </c>
    </row>
    <row r="29" spans="1:18" x14ac:dyDescent="0.1">
      <c r="B29" t="s">
        <v>171</v>
      </c>
      <c r="E29" t="s">
        <v>171</v>
      </c>
      <c r="H29" t="s">
        <v>85</v>
      </c>
      <c r="K29" t="s">
        <v>85</v>
      </c>
      <c r="N29" t="s">
        <v>85</v>
      </c>
      <c r="P29" t="s">
        <v>53</v>
      </c>
      <c r="Q29" t="s">
        <v>254</v>
      </c>
      <c r="R29" s="6">
        <v>0.67361111111111116</v>
      </c>
    </row>
    <row r="30" spans="1:18" x14ac:dyDescent="0.1">
      <c r="Q30" t="s">
        <v>255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175A-FC22-4B4D-A825-7DD6280B44E1}">
  <sheetPr codeName="Sheet9"/>
  <dimension ref="A1:AD30"/>
  <sheetViews>
    <sheetView workbookViewId="0"/>
  </sheetViews>
  <sheetFormatPr defaultRowHeight="13.5" x14ac:dyDescent="0.1"/>
  <cols>
    <col min="1" max="1" width="11.1796875" bestFit="1" customWidth="1"/>
    <col min="2" max="2" width="20.04296875" bestFit="1" customWidth="1"/>
    <col min="3" max="3" width="9.26953125" bestFit="1" customWidth="1"/>
    <col min="4" max="4" width="11.1796875" bestFit="1" customWidth="1"/>
    <col min="5" max="5" width="18.81640625" bestFit="1" customWidth="1"/>
    <col min="6" max="6" width="9.26953125" bestFit="1" customWidth="1"/>
    <col min="7" max="7" width="11.1796875" bestFit="1" customWidth="1"/>
    <col min="8" max="8" width="24.26953125" bestFit="1" customWidth="1"/>
    <col min="9" max="9" width="9.26953125" bestFit="1" customWidth="1"/>
    <col min="10" max="10" width="11.1796875" bestFit="1" customWidth="1"/>
    <col min="11" max="11" width="26.1796875" bestFit="1" customWidth="1"/>
    <col min="12" max="12" width="9.26953125" bestFit="1" customWidth="1"/>
    <col min="13" max="13" width="11.1796875" bestFit="1" customWidth="1"/>
    <col min="14" max="14" width="36.26953125" bestFit="1" customWidth="1"/>
    <col min="15" max="15" width="9.26953125" bestFit="1" customWidth="1"/>
    <col min="16" max="16" width="11.1796875" bestFit="1" customWidth="1"/>
    <col min="17" max="17" width="20.04296875" bestFit="1" customWidth="1"/>
    <col min="18" max="18" width="9.26953125" bestFit="1" customWidth="1"/>
    <col min="19" max="19" width="11.1796875" bestFit="1" customWidth="1"/>
    <col min="20" max="20" width="36.6796875" bestFit="1" customWidth="1"/>
    <col min="21" max="21" width="9.26953125" bestFit="1" customWidth="1"/>
    <col min="22" max="22" width="11.1796875" bestFit="1" customWidth="1"/>
    <col min="23" max="23" width="18.81640625" bestFit="1" customWidth="1"/>
    <col min="24" max="24" width="9.26953125" bestFit="1" customWidth="1"/>
    <col min="25" max="25" width="11.1796875" bestFit="1" customWidth="1"/>
    <col min="26" max="26" width="18.1328125" bestFit="1" customWidth="1"/>
    <col min="27" max="27" width="9.26953125" bestFit="1" customWidth="1"/>
    <col min="28" max="28" width="12.26953125" bestFit="1" customWidth="1"/>
    <col min="29" max="29" width="24.26953125" bestFit="1" customWidth="1"/>
    <col min="30" max="30" width="9.26953125" bestFit="1" customWidth="1"/>
  </cols>
  <sheetData>
    <row r="1" spans="1:30" x14ac:dyDescent="0.1">
      <c r="A1" t="s">
        <v>1023</v>
      </c>
      <c r="D1" t="s">
        <v>1037</v>
      </c>
      <c r="G1" t="s">
        <v>1050</v>
      </c>
      <c r="J1" t="s">
        <v>1064</v>
      </c>
      <c r="M1" t="s">
        <v>1078</v>
      </c>
      <c r="P1" t="s">
        <v>1088</v>
      </c>
      <c r="S1" t="s">
        <v>1096</v>
      </c>
      <c r="V1" t="s">
        <v>1113</v>
      </c>
      <c r="Y1" t="s">
        <v>1128</v>
      </c>
      <c r="AB1" t="s">
        <v>1142</v>
      </c>
    </row>
    <row r="2" spans="1:30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  <c r="AB2" t="s">
        <v>21</v>
      </c>
      <c r="AC2" t="s">
        <v>22</v>
      </c>
      <c r="AD2" t="s">
        <v>23</v>
      </c>
    </row>
    <row r="3" spans="1:30" x14ac:dyDescent="0.1">
      <c r="A3" t="s">
        <v>24</v>
      </c>
      <c r="B3" t="s">
        <v>25</v>
      </c>
      <c r="C3" s="6">
        <v>0.41319444444444442</v>
      </c>
      <c r="D3" t="s">
        <v>24</v>
      </c>
      <c r="E3" t="s">
        <v>25</v>
      </c>
      <c r="F3" s="6">
        <v>0.41319444444444442</v>
      </c>
      <c r="G3" t="s">
        <v>24</v>
      </c>
      <c r="H3" t="s">
        <v>25</v>
      </c>
      <c r="I3" s="6">
        <v>0.41319444444444442</v>
      </c>
      <c r="J3" t="s">
        <v>24</v>
      </c>
      <c r="K3" t="s">
        <v>25</v>
      </c>
      <c r="L3" s="6">
        <v>0.41319444444444442</v>
      </c>
      <c r="M3" t="s">
        <v>24</v>
      </c>
      <c r="N3" t="s">
        <v>25</v>
      </c>
      <c r="O3" s="6">
        <v>0.40972222222222221</v>
      </c>
      <c r="P3" t="s">
        <v>24</v>
      </c>
      <c r="Q3" t="s">
        <v>25</v>
      </c>
      <c r="R3" s="6">
        <v>0.40972222222222221</v>
      </c>
      <c r="S3" t="s">
        <v>24</v>
      </c>
      <c r="T3" t="s">
        <v>25</v>
      </c>
      <c r="U3" s="6">
        <v>0.40972222222222221</v>
      </c>
      <c r="V3" t="s">
        <v>24</v>
      </c>
      <c r="W3" t="s">
        <v>25</v>
      </c>
      <c r="X3" s="6">
        <v>0.41319444444444442</v>
      </c>
      <c r="Y3" t="s">
        <v>24</v>
      </c>
      <c r="Z3" t="s">
        <v>25</v>
      </c>
      <c r="AA3" s="6">
        <v>0.40972222222222221</v>
      </c>
      <c r="AB3" t="s">
        <v>24</v>
      </c>
      <c r="AC3" t="s">
        <v>25</v>
      </c>
      <c r="AD3" s="6">
        <v>0.4201388888888889</v>
      </c>
    </row>
    <row r="4" spans="1:30" x14ac:dyDescent="0.1">
      <c r="B4" t="s">
        <v>222</v>
      </c>
      <c r="E4" t="s">
        <v>84</v>
      </c>
      <c r="H4" t="s">
        <v>158</v>
      </c>
      <c r="K4" t="s">
        <v>84</v>
      </c>
      <c r="N4" t="s">
        <v>84</v>
      </c>
      <c r="Q4" t="s">
        <v>89</v>
      </c>
      <c r="T4" t="s">
        <v>84</v>
      </c>
      <c r="W4" t="s">
        <v>158</v>
      </c>
      <c r="Z4" t="s">
        <v>84</v>
      </c>
      <c r="AC4" t="s">
        <v>158</v>
      </c>
    </row>
    <row r="5" spans="1:30" x14ac:dyDescent="0.1">
      <c r="A5" t="s">
        <v>27</v>
      </c>
      <c r="B5" t="s">
        <v>25</v>
      </c>
      <c r="C5" s="6">
        <v>0.43402777777777779</v>
      </c>
      <c r="D5" t="s">
        <v>27</v>
      </c>
      <c r="E5" t="s">
        <v>25</v>
      </c>
      <c r="F5" s="6">
        <v>0.43402777777777779</v>
      </c>
      <c r="G5" t="s">
        <v>27</v>
      </c>
      <c r="H5" t="s">
        <v>25</v>
      </c>
      <c r="I5" s="6">
        <v>0.43402777777777779</v>
      </c>
      <c r="J5" t="s">
        <v>27</v>
      </c>
      <c r="K5" t="s">
        <v>25</v>
      </c>
      <c r="L5" s="6">
        <v>0.43402777777777779</v>
      </c>
      <c r="M5" t="s">
        <v>27</v>
      </c>
      <c r="N5" t="s">
        <v>25</v>
      </c>
      <c r="O5" s="6">
        <v>0.43055555555555558</v>
      </c>
      <c r="P5" t="s">
        <v>27</v>
      </c>
      <c r="Q5" t="s">
        <v>25</v>
      </c>
      <c r="R5" s="6">
        <v>0.43055555555555558</v>
      </c>
      <c r="S5" t="s">
        <v>27</v>
      </c>
      <c r="T5" t="s">
        <v>25</v>
      </c>
      <c r="U5" s="6">
        <v>0.43055555555555558</v>
      </c>
      <c r="V5" t="s">
        <v>27</v>
      </c>
      <c r="W5" t="s">
        <v>25</v>
      </c>
      <c r="X5" s="6">
        <v>0.43402777777777779</v>
      </c>
      <c r="Y5" t="s">
        <v>27</v>
      </c>
      <c r="Z5" t="s">
        <v>25</v>
      </c>
      <c r="AA5" s="6">
        <v>0.43055555555555558</v>
      </c>
      <c r="AB5" t="s">
        <v>27</v>
      </c>
      <c r="AC5" t="s">
        <v>25</v>
      </c>
      <c r="AD5" s="6">
        <v>0.44097222222222221</v>
      </c>
    </row>
    <row r="6" spans="1:30" x14ac:dyDescent="0.1">
      <c r="B6" t="s">
        <v>89</v>
      </c>
      <c r="E6" t="s">
        <v>122</v>
      </c>
      <c r="H6" t="s">
        <v>89</v>
      </c>
      <c r="K6" t="s">
        <v>77</v>
      </c>
      <c r="N6" t="s">
        <v>77</v>
      </c>
      <c r="Q6" t="s">
        <v>122</v>
      </c>
      <c r="T6" t="s">
        <v>77</v>
      </c>
      <c r="W6" t="s">
        <v>89</v>
      </c>
      <c r="Z6" t="s">
        <v>122</v>
      </c>
      <c r="AC6" t="s">
        <v>89</v>
      </c>
    </row>
    <row r="7" spans="1:30" x14ac:dyDescent="0.1">
      <c r="A7" t="s">
        <v>30</v>
      </c>
      <c r="B7" t="s">
        <v>25</v>
      </c>
      <c r="C7" s="6">
        <v>0.4548611111111111</v>
      </c>
      <c r="D7" t="s">
        <v>30</v>
      </c>
      <c r="E7" t="s">
        <v>25</v>
      </c>
      <c r="F7" s="6">
        <v>0.4548611111111111</v>
      </c>
      <c r="G7" t="s">
        <v>30</v>
      </c>
      <c r="H7" t="s">
        <v>25</v>
      </c>
      <c r="I7" s="6">
        <v>0.4548611111111111</v>
      </c>
      <c r="J7" t="s">
        <v>30</v>
      </c>
      <c r="K7" t="s">
        <v>25</v>
      </c>
      <c r="L7" s="6">
        <v>0.4548611111111111</v>
      </c>
      <c r="M7" t="s">
        <v>30</v>
      </c>
      <c r="N7" t="s">
        <v>25</v>
      </c>
      <c r="O7" s="6">
        <v>0.4513888888888889</v>
      </c>
      <c r="P7" t="s">
        <v>30</v>
      </c>
      <c r="Q7" t="s">
        <v>25</v>
      </c>
      <c r="R7" s="6">
        <v>0.4513888888888889</v>
      </c>
      <c r="S7" t="s">
        <v>30</v>
      </c>
      <c r="T7" t="s">
        <v>25</v>
      </c>
      <c r="U7" s="6">
        <v>0.4513888888888889</v>
      </c>
      <c r="V7" t="s">
        <v>30</v>
      </c>
      <c r="W7" t="s">
        <v>25</v>
      </c>
      <c r="X7" s="6">
        <v>0.4548611111111111</v>
      </c>
      <c r="Y7" t="s">
        <v>30</v>
      </c>
      <c r="Z7" t="s">
        <v>25</v>
      </c>
      <c r="AA7" s="6">
        <v>0.4513888888888889</v>
      </c>
      <c r="AB7" t="s">
        <v>30</v>
      </c>
      <c r="AC7" t="s">
        <v>25</v>
      </c>
      <c r="AD7" s="6">
        <v>0.46180555555555558</v>
      </c>
    </row>
    <row r="8" spans="1:30" x14ac:dyDescent="0.1">
      <c r="B8" t="s">
        <v>77</v>
      </c>
      <c r="E8" t="s">
        <v>89</v>
      </c>
      <c r="H8" t="s">
        <v>122</v>
      </c>
      <c r="K8" t="s">
        <v>337</v>
      </c>
      <c r="N8" t="s">
        <v>337</v>
      </c>
      <c r="Q8" t="s">
        <v>89</v>
      </c>
      <c r="T8" t="s">
        <v>89</v>
      </c>
      <c r="W8" t="s">
        <v>122</v>
      </c>
      <c r="Z8" t="s">
        <v>337</v>
      </c>
      <c r="AC8" t="s">
        <v>122</v>
      </c>
    </row>
    <row r="9" spans="1:30" x14ac:dyDescent="0.1">
      <c r="A9" t="s">
        <v>32</v>
      </c>
      <c r="B9" t="s">
        <v>853</v>
      </c>
      <c r="C9" s="6">
        <v>0.47569444444444442</v>
      </c>
      <c r="D9" t="s">
        <v>32</v>
      </c>
      <c r="E9" t="s">
        <v>853</v>
      </c>
      <c r="F9" s="6">
        <v>0.47569444444444442</v>
      </c>
      <c r="G9" t="s">
        <v>32</v>
      </c>
      <c r="H9" t="s">
        <v>25</v>
      </c>
      <c r="I9" s="6">
        <v>0.47569444444444442</v>
      </c>
      <c r="J9" t="s">
        <v>32</v>
      </c>
      <c r="K9" t="s">
        <v>246</v>
      </c>
      <c r="L9" s="6">
        <v>0.47569444444444442</v>
      </c>
      <c r="M9" t="s">
        <v>32</v>
      </c>
      <c r="N9" t="s">
        <v>25</v>
      </c>
      <c r="O9" s="6">
        <v>0.47222222222222221</v>
      </c>
      <c r="P9" t="s">
        <v>32</v>
      </c>
      <c r="Q9" t="s">
        <v>25</v>
      </c>
      <c r="R9" s="6">
        <v>0.47222222222222221</v>
      </c>
      <c r="S9" t="s">
        <v>32</v>
      </c>
      <c r="T9" t="s">
        <v>25</v>
      </c>
      <c r="U9" s="6">
        <v>0.47222222222222221</v>
      </c>
      <c r="V9" t="s">
        <v>32</v>
      </c>
      <c r="W9" t="s">
        <v>257</v>
      </c>
      <c r="X9" s="6">
        <v>0.47569444444444442</v>
      </c>
      <c r="Y9" t="s">
        <v>32</v>
      </c>
      <c r="Z9" t="s">
        <v>25</v>
      </c>
      <c r="AA9" s="6">
        <v>0.47222222222222221</v>
      </c>
      <c r="AB9" t="s">
        <v>32</v>
      </c>
      <c r="AC9" t="s">
        <v>25</v>
      </c>
      <c r="AD9" s="6">
        <v>0.4826388888888889</v>
      </c>
    </row>
    <row r="10" spans="1:30" x14ac:dyDescent="0.1">
      <c r="B10" t="s">
        <v>89</v>
      </c>
      <c r="E10" t="s">
        <v>77</v>
      </c>
      <c r="H10" t="s">
        <v>89</v>
      </c>
      <c r="K10" t="s">
        <v>89</v>
      </c>
      <c r="N10" t="s">
        <v>354</v>
      </c>
      <c r="Q10" t="s">
        <v>77</v>
      </c>
      <c r="T10" t="s">
        <v>75</v>
      </c>
      <c r="W10" t="s">
        <v>338</v>
      </c>
      <c r="Z10" t="s">
        <v>77</v>
      </c>
      <c r="AC10" t="s">
        <v>354</v>
      </c>
    </row>
    <row r="11" spans="1:30" x14ac:dyDescent="0.1">
      <c r="A11" t="s">
        <v>34</v>
      </c>
      <c r="B11" t="s">
        <v>25</v>
      </c>
      <c r="C11" s="6">
        <v>0.51041666666666663</v>
      </c>
      <c r="D11" t="s">
        <v>34</v>
      </c>
      <c r="E11" t="s">
        <v>25</v>
      </c>
      <c r="F11" s="6">
        <v>0.51041666666666663</v>
      </c>
      <c r="G11" t="s">
        <v>34</v>
      </c>
      <c r="H11" t="s">
        <v>25</v>
      </c>
      <c r="I11" s="6">
        <v>0.51041666666666663</v>
      </c>
      <c r="J11" t="s">
        <v>34</v>
      </c>
      <c r="K11" t="s">
        <v>25</v>
      </c>
      <c r="L11" s="6">
        <v>0.51041666666666663</v>
      </c>
      <c r="M11" t="s">
        <v>34</v>
      </c>
      <c r="N11" t="s">
        <v>25</v>
      </c>
      <c r="O11" s="6">
        <v>0.50694444444444442</v>
      </c>
      <c r="P11" t="s">
        <v>34</v>
      </c>
      <c r="Q11" t="s">
        <v>246</v>
      </c>
      <c r="R11" s="6">
        <v>0.50694444444444442</v>
      </c>
      <c r="S11" t="s">
        <v>34</v>
      </c>
      <c r="T11" t="s">
        <v>25</v>
      </c>
      <c r="U11" s="6">
        <v>0.50694444444444442</v>
      </c>
      <c r="V11" t="s">
        <v>34</v>
      </c>
      <c r="W11" t="s">
        <v>25</v>
      </c>
      <c r="X11" s="6">
        <v>0.51041666666666663</v>
      </c>
      <c r="Y11" t="s">
        <v>34</v>
      </c>
      <c r="Z11" t="s">
        <v>25</v>
      </c>
      <c r="AA11" s="6">
        <v>0.50694444444444442</v>
      </c>
      <c r="AB11" t="s">
        <v>34</v>
      </c>
      <c r="AC11" t="s">
        <v>246</v>
      </c>
      <c r="AD11" s="6">
        <v>0.51736111111111116</v>
      </c>
    </row>
    <row r="12" spans="1:30" x14ac:dyDescent="0.1">
      <c r="B12" t="s">
        <v>117</v>
      </c>
      <c r="E12" t="s">
        <v>29</v>
      </c>
      <c r="H12" t="s">
        <v>90</v>
      </c>
      <c r="K12" t="s">
        <v>29</v>
      </c>
      <c r="N12" t="s">
        <v>117</v>
      </c>
      <c r="Q12" t="s">
        <v>84</v>
      </c>
      <c r="T12" t="s">
        <v>90</v>
      </c>
      <c r="W12" t="s">
        <v>228</v>
      </c>
      <c r="Z12" t="s">
        <v>117</v>
      </c>
      <c r="AC12" t="s">
        <v>33</v>
      </c>
    </row>
    <row r="13" spans="1:30" x14ac:dyDescent="0.1">
      <c r="A13" t="s">
        <v>35</v>
      </c>
      <c r="B13" t="s">
        <v>25</v>
      </c>
      <c r="C13" s="6">
        <v>0.53472222222222221</v>
      </c>
      <c r="D13" t="s">
        <v>35</v>
      </c>
      <c r="E13" t="s">
        <v>246</v>
      </c>
      <c r="F13" s="6">
        <v>0.53125</v>
      </c>
      <c r="G13" t="s">
        <v>35</v>
      </c>
      <c r="H13" t="s">
        <v>247</v>
      </c>
      <c r="I13" s="6">
        <v>0.53472222222222221</v>
      </c>
      <c r="J13" t="s">
        <v>35</v>
      </c>
      <c r="K13" t="s">
        <v>246</v>
      </c>
      <c r="L13" s="6">
        <v>0.53125</v>
      </c>
      <c r="M13" t="s">
        <v>35</v>
      </c>
      <c r="N13" t="s">
        <v>246</v>
      </c>
      <c r="O13" s="6">
        <v>0.52777777777777779</v>
      </c>
      <c r="P13" t="s">
        <v>35</v>
      </c>
      <c r="Q13" t="s">
        <v>247</v>
      </c>
      <c r="R13" s="6">
        <v>0.52777777777777779</v>
      </c>
      <c r="S13" t="s">
        <v>35</v>
      </c>
      <c r="T13" t="s">
        <v>247</v>
      </c>
      <c r="U13" s="6">
        <v>0.52777777777777779</v>
      </c>
      <c r="V13" t="s">
        <v>35</v>
      </c>
      <c r="W13" t="s">
        <v>246</v>
      </c>
      <c r="X13" s="6">
        <v>0.53125</v>
      </c>
      <c r="Y13" t="s">
        <v>35</v>
      </c>
      <c r="Z13" t="s">
        <v>246</v>
      </c>
      <c r="AA13" s="6">
        <v>0.52777777777777779</v>
      </c>
      <c r="AB13" t="s">
        <v>35</v>
      </c>
      <c r="AC13" t="s">
        <v>246</v>
      </c>
      <c r="AD13" s="6">
        <v>0.53819444444444442</v>
      </c>
    </row>
    <row r="14" spans="1:30" x14ac:dyDescent="0.1">
      <c r="B14" t="s">
        <v>354</v>
      </c>
      <c r="E14" t="s">
        <v>77</v>
      </c>
      <c r="H14" t="s">
        <v>78</v>
      </c>
      <c r="K14" t="s">
        <v>29</v>
      </c>
      <c r="N14" t="s">
        <v>122</v>
      </c>
      <c r="Q14" t="s">
        <v>290</v>
      </c>
      <c r="T14" t="s">
        <v>113</v>
      </c>
      <c r="W14" t="s">
        <v>117</v>
      </c>
      <c r="Z14" t="s">
        <v>77</v>
      </c>
      <c r="AC14" t="s">
        <v>89</v>
      </c>
    </row>
    <row r="15" spans="1:30" x14ac:dyDescent="0.1">
      <c r="A15" t="s">
        <v>38</v>
      </c>
      <c r="B15" t="s">
        <v>247</v>
      </c>
      <c r="C15" s="6">
        <v>0.55555555555555558</v>
      </c>
      <c r="D15" t="s">
        <v>38</v>
      </c>
      <c r="E15" t="s">
        <v>247</v>
      </c>
      <c r="F15" s="6">
        <v>0.55208333333333337</v>
      </c>
      <c r="G15" t="s">
        <v>38</v>
      </c>
      <c r="H15" t="s">
        <v>247</v>
      </c>
      <c r="I15" s="6">
        <v>0.55555555555555558</v>
      </c>
      <c r="J15" t="s">
        <v>38</v>
      </c>
      <c r="K15" t="s">
        <v>247</v>
      </c>
      <c r="L15" s="6">
        <v>0.55208333333333337</v>
      </c>
      <c r="M15" t="s">
        <v>38</v>
      </c>
      <c r="N15" t="s">
        <v>247</v>
      </c>
      <c r="O15" s="6">
        <v>0.54861111111111116</v>
      </c>
      <c r="P15" t="s">
        <v>38</v>
      </c>
      <c r="Q15" t="s">
        <v>247</v>
      </c>
      <c r="R15" s="6">
        <v>0.54861111111111116</v>
      </c>
      <c r="S15" t="s">
        <v>38</v>
      </c>
      <c r="T15" t="s">
        <v>247</v>
      </c>
      <c r="U15" s="6">
        <v>0.54861111111111116</v>
      </c>
      <c r="V15" t="s">
        <v>38</v>
      </c>
      <c r="W15" t="s">
        <v>247</v>
      </c>
      <c r="X15" s="6">
        <v>0.55208333333333337</v>
      </c>
      <c r="Y15" t="s">
        <v>38</v>
      </c>
      <c r="Z15" t="s">
        <v>247</v>
      </c>
      <c r="AA15" s="6">
        <v>0.54861111111111116</v>
      </c>
      <c r="AB15" t="s">
        <v>38</v>
      </c>
      <c r="AC15" t="s">
        <v>247</v>
      </c>
      <c r="AD15" s="6">
        <v>0.55902777777777779</v>
      </c>
    </row>
    <row r="16" spans="1:30" x14ac:dyDescent="0.1">
      <c r="B16" t="s">
        <v>114</v>
      </c>
      <c r="E16" t="s">
        <v>268</v>
      </c>
      <c r="H16" t="s">
        <v>114</v>
      </c>
      <c r="K16" t="s">
        <v>255</v>
      </c>
      <c r="N16" t="s">
        <v>78</v>
      </c>
      <c r="Q16" t="s">
        <v>60</v>
      </c>
      <c r="T16" t="s">
        <v>114</v>
      </c>
      <c r="W16" t="s">
        <v>171</v>
      </c>
      <c r="Z16" t="s">
        <v>113</v>
      </c>
      <c r="AC16" t="s">
        <v>268</v>
      </c>
    </row>
    <row r="17" spans="1:30" x14ac:dyDescent="0.1">
      <c r="A17" t="s">
        <v>40</v>
      </c>
      <c r="B17" t="s">
        <v>247</v>
      </c>
      <c r="C17" s="6">
        <v>0.57638888888888884</v>
      </c>
      <c r="D17" t="s">
        <v>40</v>
      </c>
      <c r="E17" t="s">
        <v>247</v>
      </c>
      <c r="F17" s="6">
        <v>0.57291666666666663</v>
      </c>
      <c r="G17" t="s">
        <v>40</v>
      </c>
      <c r="H17" t="s">
        <v>254</v>
      </c>
      <c r="I17" s="6">
        <v>0.57638888888888884</v>
      </c>
      <c r="J17" t="s">
        <v>40</v>
      </c>
      <c r="K17" t="s">
        <v>247</v>
      </c>
      <c r="L17" s="6">
        <v>0.57291666666666663</v>
      </c>
      <c r="M17" t="s">
        <v>40</v>
      </c>
      <c r="N17" t="s">
        <v>254</v>
      </c>
      <c r="O17" s="6">
        <v>0.56944444444444442</v>
      </c>
      <c r="P17" t="s">
        <v>40</v>
      </c>
      <c r="Q17" t="s">
        <v>254</v>
      </c>
      <c r="R17" s="6">
        <v>0.56944444444444442</v>
      </c>
      <c r="S17" t="s">
        <v>40</v>
      </c>
      <c r="T17" t="s">
        <v>1097</v>
      </c>
      <c r="U17" s="6">
        <v>0.57291666666666663</v>
      </c>
      <c r="V17" t="s">
        <v>40</v>
      </c>
      <c r="W17" t="s">
        <v>254</v>
      </c>
      <c r="X17" s="6">
        <v>0.57291666666666663</v>
      </c>
      <c r="Y17" t="s">
        <v>40</v>
      </c>
      <c r="Z17" t="s">
        <v>254</v>
      </c>
      <c r="AA17" s="6">
        <v>0.57291666666666663</v>
      </c>
      <c r="AB17" t="s">
        <v>40</v>
      </c>
      <c r="AC17" t="s">
        <v>247</v>
      </c>
      <c r="AD17" s="6">
        <v>0.57986111111111116</v>
      </c>
    </row>
    <row r="18" spans="1:30" x14ac:dyDescent="0.1">
      <c r="B18" t="s">
        <v>171</v>
      </c>
      <c r="E18" t="s">
        <v>78</v>
      </c>
      <c r="H18" t="s">
        <v>113</v>
      </c>
      <c r="K18" t="s">
        <v>185</v>
      </c>
      <c r="N18" t="s">
        <v>171</v>
      </c>
      <c r="Q18" t="s">
        <v>78</v>
      </c>
      <c r="T18" t="s">
        <v>244</v>
      </c>
      <c r="W18" t="s">
        <v>78</v>
      </c>
      <c r="Z18" t="s">
        <v>78</v>
      </c>
      <c r="AC18" t="s">
        <v>78</v>
      </c>
    </row>
    <row r="19" spans="1:30" x14ac:dyDescent="0.1">
      <c r="A19" t="s">
        <v>42</v>
      </c>
      <c r="B19" t="s">
        <v>1024</v>
      </c>
      <c r="C19" s="6">
        <v>0.59722222222222221</v>
      </c>
      <c r="D19" t="s">
        <v>42</v>
      </c>
      <c r="E19" t="s">
        <v>1038</v>
      </c>
      <c r="F19" s="6">
        <v>0.59375</v>
      </c>
      <c r="G19" t="s">
        <v>42</v>
      </c>
      <c r="H19" t="s">
        <v>1051</v>
      </c>
      <c r="I19" s="6">
        <v>0.59722222222222221</v>
      </c>
      <c r="J19" t="s">
        <v>42</v>
      </c>
      <c r="K19" t="s">
        <v>1065</v>
      </c>
      <c r="L19" s="6">
        <v>0.59375</v>
      </c>
      <c r="M19" t="s">
        <v>42</v>
      </c>
      <c r="N19" t="s">
        <v>1079</v>
      </c>
      <c r="O19" s="6">
        <v>0.59375</v>
      </c>
      <c r="P19" t="s">
        <v>42</v>
      </c>
      <c r="Q19" t="s">
        <v>1089</v>
      </c>
      <c r="R19" s="6">
        <v>0.59375</v>
      </c>
      <c r="T19" t="s">
        <v>1098</v>
      </c>
      <c r="V19" t="s">
        <v>42</v>
      </c>
      <c r="W19" t="s">
        <v>1114</v>
      </c>
      <c r="X19" s="6">
        <v>0.59375</v>
      </c>
      <c r="Y19" t="s">
        <v>42</v>
      </c>
      <c r="Z19" t="s">
        <v>1129</v>
      </c>
      <c r="AA19" s="6">
        <v>0.59722222222222221</v>
      </c>
      <c r="AB19" t="s">
        <v>42</v>
      </c>
      <c r="AC19" t="s">
        <v>1143</v>
      </c>
      <c r="AD19" s="6">
        <v>0.60069444444444442</v>
      </c>
    </row>
    <row r="20" spans="1:30" x14ac:dyDescent="0.1">
      <c r="B20" t="s">
        <v>225</v>
      </c>
      <c r="E20" t="s">
        <v>254</v>
      </c>
      <c r="H20" t="s">
        <v>250</v>
      </c>
      <c r="K20" t="s">
        <v>254</v>
      </c>
      <c r="N20" t="s">
        <v>254</v>
      </c>
      <c r="Q20" t="s">
        <v>246</v>
      </c>
      <c r="S20" t="s">
        <v>42</v>
      </c>
      <c r="T20" t="s">
        <v>1099</v>
      </c>
      <c r="U20" s="6">
        <v>0.59722222222222221</v>
      </c>
      <c r="W20" t="s">
        <v>246</v>
      </c>
      <c r="Z20" t="s">
        <v>254</v>
      </c>
      <c r="AC20" t="s">
        <v>254</v>
      </c>
    </row>
    <row r="21" spans="1:30" x14ac:dyDescent="0.1">
      <c r="B21" t="s">
        <v>1025</v>
      </c>
      <c r="E21" t="s">
        <v>167</v>
      </c>
      <c r="H21" t="s">
        <v>1052</v>
      </c>
      <c r="K21" t="s">
        <v>83</v>
      </c>
      <c r="N21" t="s">
        <v>203</v>
      </c>
      <c r="Q21" t="s">
        <v>90</v>
      </c>
      <c r="T21" t="s">
        <v>254</v>
      </c>
      <c r="W21" t="s">
        <v>354</v>
      </c>
      <c r="Z21" t="s">
        <v>1130</v>
      </c>
      <c r="AC21" t="s">
        <v>171</v>
      </c>
    </row>
    <row r="22" spans="1:30" x14ac:dyDescent="0.1">
      <c r="A22" t="s">
        <v>46</v>
      </c>
      <c r="B22" t="s">
        <v>1026</v>
      </c>
      <c r="C22" s="6">
        <v>0.62152777777777779</v>
      </c>
      <c r="D22" t="s">
        <v>46</v>
      </c>
      <c r="E22" t="s">
        <v>1039</v>
      </c>
      <c r="F22" s="6">
        <v>0.61805555555555558</v>
      </c>
      <c r="G22" t="s">
        <v>46</v>
      </c>
      <c r="H22" t="s">
        <v>1053</v>
      </c>
      <c r="I22" s="6">
        <v>0.62152777777777779</v>
      </c>
      <c r="J22" t="s">
        <v>46</v>
      </c>
      <c r="K22" t="s">
        <v>1066</v>
      </c>
      <c r="L22" s="6">
        <v>0.61805555555555558</v>
      </c>
      <c r="M22" t="s">
        <v>46</v>
      </c>
      <c r="N22" t="s">
        <v>1080</v>
      </c>
      <c r="O22" s="6">
        <v>0.61805555555555558</v>
      </c>
      <c r="P22" t="s">
        <v>46</v>
      </c>
      <c r="Q22" t="s">
        <v>1090</v>
      </c>
      <c r="R22" s="6">
        <v>0.61805555555555558</v>
      </c>
      <c r="T22" t="s">
        <v>39</v>
      </c>
      <c r="V22" t="s">
        <v>46</v>
      </c>
      <c r="W22" t="s">
        <v>1115</v>
      </c>
      <c r="X22" s="6">
        <v>0.61805555555555558</v>
      </c>
      <c r="Y22" t="s">
        <v>46</v>
      </c>
      <c r="Z22" t="s">
        <v>1131</v>
      </c>
      <c r="AA22" s="6">
        <v>0.62152777777777779</v>
      </c>
      <c r="AB22" t="s">
        <v>46</v>
      </c>
      <c r="AC22" t="s">
        <v>1144</v>
      </c>
      <c r="AD22" s="6">
        <v>0.625</v>
      </c>
    </row>
    <row r="23" spans="1:30" x14ac:dyDescent="0.1">
      <c r="B23" t="s">
        <v>250</v>
      </c>
      <c r="E23" t="s">
        <v>250</v>
      </c>
      <c r="H23" t="s">
        <v>225</v>
      </c>
      <c r="K23" t="s">
        <v>250</v>
      </c>
      <c r="N23" t="s">
        <v>250</v>
      </c>
      <c r="Q23" t="s">
        <v>250</v>
      </c>
      <c r="S23" t="s">
        <v>46</v>
      </c>
      <c r="T23" t="s">
        <v>1100</v>
      </c>
      <c r="U23" s="6">
        <v>0.62152777777777779</v>
      </c>
      <c r="W23" t="s">
        <v>250</v>
      </c>
      <c r="Z23" t="s">
        <v>250</v>
      </c>
      <c r="AC23" t="s">
        <v>264</v>
      </c>
    </row>
    <row r="24" spans="1:30" x14ac:dyDescent="0.1">
      <c r="B24" t="s">
        <v>114</v>
      </c>
      <c r="E24" t="s">
        <v>111</v>
      </c>
      <c r="H24" t="s">
        <v>103</v>
      </c>
      <c r="K24" t="s">
        <v>78</v>
      </c>
      <c r="N24" t="s">
        <v>85</v>
      </c>
      <c r="Q24" t="s">
        <v>171</v>
      </c>
      <c r="T24" t="s">
        <v>250</v>
      </c>
      <c r="W24" t="s">
        <v>138</v>
      </c>
      <c r="Z24" t="s">
        <v>69</v>
      </c>
      <c r="AC24" t="s">
        <v>312</v>
      </c>
    </row>
    <row r="25" spans="1:30" x14ac:dyDescent="0.1">
      <c r="A25" t="s">
        <v>49</v>
      </c>
      <c r="B25" t="s">
        <v>1027</v>
      </c>
      <c r="C25" s="6">
        <v>0.64583333333333337</v>
      </c>
      <c r="D25" t="s">
        <v>49</v>
      </c>
      <c r="E25" t="s">
        <v>1040</v>
      </c>
      <c r="F25" s="6">
        <v>0.64236111111111116</v>
      </c>
      <c r="G25" t="s">
        <v>49</v>
      </c>
      <c r="H25" t="s">
        <v>1054</v>
      </c>
      <c r="I25" s="6">
        <v>0.64583333333333337</v>
      </c>
      <c r="J25" t="s">
        <v>49</v>
      </c>
      <c r="K25" t="s">
        <v>1067</v>
      </c>
      <c r="L25" s="6">
        <v>0.64583333333333337</v>
      </c>
      <c r="M25" t="s">
        <v>49</v>
      </c>
      <c r="N25" t="s">
        <v>1081</v>
      </c>
      <c r="O25" s="6">
        <v>0.64583333333333337</v>
      </c>
      <c r="P25" t="s">
        <v>49</v>
      </c>
      <c r="Q25" t="s">
        <v>1091</v>
      </c>
      <c r="R25" s="6">
        <v>0.64583333333333337</v>
      </c>
      <c r="T25" t="s">
        <v>185</v>
      </c>
      <c r="V25" t="s">
        <v>49</v>
      </c>
      <c r="W25" t="s">
        <v>1116</v>
      </c>
      <c r="X25" s="6">
        <v>0.64583333333333337</v>
      </c>
      <c r="Y25" t="s">
        <v>49</v>
      </c>
      <c r="Z25" t="s">
        <v>1132</v>
      </c>
      <c r="AA25" s="6">
        <v>0.64583333333333337</v>
      </c>
      <c r="AB25" t="s">
        <v>49</v>
      </c>
      <c r="AC25" t="s">
        <v>1145</v>
      </c>
      <c r="AD25" s="6">
        <v>0.65625</v>
      </c>
    </row>
    <row r="26" spans="1:30" x14ac:dyDescent="0.1">
      <c r="B26" t="s">
        <v>264</v>
      </c>
      <c r="E26" t="s">
        <v>264</v>
      </c>
      <c r="H26" t="s">
        <v>264</v>
      </c>
      <c r="K26" t="s">
        <v>1068</v>
      </c>
      <c r="N26" t="s">
        <v>1068</v>
      </c>
      <c r="Q26" t="s">
        <v>264</v>
      </c>
      <c r="S26" t="s">
        <v>49</v>
      </c>
      <c r="T26" t="s">
        <v>1101</v>
      </c>
      <c r="U26" s="6">
        <v>0.64583333333333337</v>
      </c>
      <c r="W26" t="s">
        <v>264</v>
      </c>
      <c r="Z26" t="s">
        <v>1087</v>
      </c>
      <c r="AC26" t="s">
        <v>264</v>
      </c>
    </row>
    <row r="27" spans="1:30" x14ac:dyDescent="0.1">
      <c r="B27" t="s">
        <v>169</v>
      </c>
      <c r="E27" t="s">
        <v>391</v>
      </c>
      <c r="H27" t="s">
        <v>1055</v>
      </c>
      <c r="K27" t="s">
        <v>225</v>
      </c>
      <c r="N27" t="s">
        <v>225</v>
      </c>
      <c r="Q27" t="s">
        <v>603</v>
      </c>
      <c r="T27" t="s">
        <v>264</v>
      </c>
      <c r="W27" t="s">
        <v>69</v>
      </c>
      <c r="Z27" t="s">
        <v>225</v>
      </c>
      <c r="AC27" t="s">
        <v>237</v>
      </c>
    </row>
    <row r="28" spans="1:30" x14ac:dyDescent="0.1">
      <c r="A28" t="s">
        <v>53</v>
      </c>
      <c r="B28" t="s">
        <v>254</v>
      </c>
      <c r="C28" s="6">
        <v>0.67361111111111116</v>
      </c>
      <c r="D28" t="s">
        <v>53</v>
      </c>
      <c r="E28" t="s">
        <v>254</v>
      </c>
      <c r="F28" s="6">
        <v>0.67361111111111116</v>
      </c>
      <c r="G28" t="s">
        <v>53</v>
      </c>
      <c r="H28" t="s">
        <v>254</v>
      </c>
      <c r="I28" s="6">
        <v>0.67361111111111116</v>
      </c>
      <c r="K28" t="s">
        <v>142</v>
      </c>
      <c r="N28" t="s">
        <v>107</v>
      </c>
      <c r="P28" t="s">
        <v>53</v>
      </c>
      <c r="Q28" t="s">
        <v>254</v>
      </c>
      <c r="R28" s="6">
        <v>0.67361111111111116</v>
      </c>
      <c r="T28" t="s">
        <v>366</v>
      </c>
      <c r="V28" t="s">
        <v>53</v>
      </c>
      <c r="W28" t="s">
        <v>254</v>
      </c>
      <c r="X28" s="6">
        <v>0.67361111111111116</v>
      </c>
      <c r="Z28" t="s">
        <v>29</v>
      </c>
      <c r="AB28" t="s">
        <v>53</v>
      </c>
      <c r="AC28" t="s">
        <v>254</v>
      </c>
      <c r="AD28" s="6">
        <v>0.68402777777777779</v>
      </c>
    </row>
    <row r="29" spans="1:30" x14ac:dyDescent="0.1">
      <c r="B29" t="s">
        <v>78</v>
      </c>
      <c r="E29" t="s">
        <v>114</v>
      </c>
      <c r="H29" t="s">
        <v>111</v>
      </c>
      <c r="J29" t="s">
        <v>53</v>
      </c>
      <c r="K29" t="s">
        <v>254</v>
      </c>
      <c r="L29" s="6">
        <v>0.67361111111111116</v>
      </c>
      <c r="M29" t="s">
        <v>53</v>
      </c>
      <c r="N29" t="s">
        <v>247</v>
      </c>
      <c r="O29" s="6">
        <v>0.67361111111111116</v>
      </c>
      <c r="Q29" t="s">
        <v>114</v>
      </c>
      <c r="S29" t="s">
        <v>53</v>
      </c>
      <c r="T29" t="s">
        <v>247</v>
      </c>
      <c r="U29" s="6">
        <v>0.67361111111111116</v>
      </c>
      <c r="W29" t="s">
        <v>316</v>
      </c>
      <c r="Y29" t="s">
        <v>53</v>
      </c>
      <c r="Z29" t="s">
        <v>247</v>
      </c>
      <c r="AA29" s="6">
        <v>0.67361111111111116</v>
      </c>
      <c r="AC29" t="s">
        <v>114</v>
      </c>
    </row>
    <row r="30" spans="1:30" x14ac:dyDescent="0.1">
      <c r="K30" t="s">
        <v>85</v>
      </c>
      <c r="N30" t="s">
        <v>85</v>
      </c>
      <c r="T30" t="s">
        <v>78</v>
      </c>
      <c r="Z30" t="s">
        <v>85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F400-8139-40EA-B6D0-61DDAAFC68D1}">
  <sheetPr codeName="Sheet10"/>
  <dimension ref="A1:X31"/>
  <sheetViews>
    <sheetView workbookViewId="0"/>
  </sheetViews>
  <sheetFormatPr defaultRowHeight="13.5" x14ac:dyDescent="0.1"/>
  <cols>
    <col min="1" max="1" width="11.1796875" bestFit="1" customWidth="1"/>
    <col min="2" max="2" width="32.99609375" bestFit="1" customWidth="1"/>
    <col min="3" max="3" width="9.26953125" bestFit="1" customWidth="1"/>
    <col min="4" max="4" width="11.1796875" bestFit="1" customWidth="1"/>
    <col min="5" max="5" width="23.1796875" bestFit="1" customWidth="1"/>
    <col min="6" max="6" width="9.26953125" bestFit="1" customWidth="1"/>
    <col min="7" max="7" width="11.1796875" bestFit="1" customWidth="1"/>
    <col min="8" max="8" width="24.6796875" bestFit="1" customWidth="1"/>
    <col min="9" max="9" width="9.26953125" bestFit="1" customWidth="1"/>
    <col min="10" max="10" width="11.1796875" bestFit="1" customWidth="1"/>
    <col min="11" max="11" width="26.7265625" bestFit="1" customWidth="1"/>
    <col min="12" max="12" width="9.26953125" bestFit="1" customWidth="1"/>
    <col min="13" max="13" width="11.1796875" bestFit="1" customWidth="1"/>
    <col min="14" max="14" width="21.26953125" bestFit="1" customWidth="1"/>
    <col min="15" max="15" width="9.26953125" bestFit="1" customWidth="1"/>
    <col min="16" max="16" width="11.1796875" bestFit="1" customWidth="1"/>
    <col min="17" max="17" width="25.36328125" bestFit="1" customWidth="1"/>
    <col min="18" max="18" width="9.26953125" bestFit="1" customWidth="1"/>
    <col min="19" max="19" width="11.1796875" bestFit="1" customWidth="1"/>
    <col min="20" max="20" width="25.90625" bestFit="1" customWidth="1"/>
    <col min="21" max="21" width="9.26953125" bestFit="1" customWidth="1"/>
    <col min="22" max="22" width="11.1796875" bestFit="1" customWidth="1"/>
    <col min="23" max="23" width="18.81640625" bestFit="1" customWidth="1"/>
    <col min="24" max="24" width="9.26953125" bestFit="1" customWidth="1"/>
  </cols>
  <sheetData>
    <row r="1" spans="1:24" x14ac:dyDescent="0.1">
      <c r="A1" t="s">
        <v>1045</v>
      </c>
      <c r="D1" t="s">
        <v>1060</v>
      </c>
      <c r="G1" t="s">
        <v>1073</v>
      </c>
      <c r="J1" t="s">
        <v>1082</v>
      </c>
      <c r="M1" t="s">
        <v>1092</v>
      </c>
      <c r="P1" t="s">
        <v>1107</v>
      </c>
      <c r="S1" t="s">
        <v>1122</v>
      </c>
      <c r="V1" t="s">
        <v>1138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25</v>
      </c>
      <c r="C3" s="6">
        <v>0.4201388888888889</v>
      </c>
      <c r="D3" t="s">
        <v>24</v>
      </c>
      <c r="E3" t="s">
        <v>25</v>
      </c>
      <c r="F3" s="6">
        <v>0.4201388888888889</v>
      </c>
      <c r="G3" t="s">
        <v>24</v>
      </c>
      <c r="H3" t="s">
        <v>25</v>
      </c>
      <c r="I3" s="6">
        <v>0.4201388888888889</v>
      </c>
      <c r="J3" t="s">
        <v>24</v>
      </c>
      <c r="K3" t="s">
        <v>25</v>
      </c>
      <c r="L3" s="6">
        <v>0.4201388888888889</v>
      </c>
      <c r="M3" t="s">
        <v>24</v>
      </c>
      <c r="N3" t="s">
        <v>25</v>
      </c>
      <c r="O3" s="6">
        <v>0.4201388888888889</v>
      </c>
      <c r="P3" t="s">
        <v>24</v>
      </c>
      <c r="Q3" t="s">
        <v>25</v>
      </c>
      <c r="R3" s="6">
        <v>0.4201388888888889</v>
      </c>
      <c r="S3" t="s">
        <v>24</v>
      </c>
      <c r="T3" t="s">
        <v>25</v>
      </c>
      <c r="U3" s="6">
        <v>0.4201388888888889</v>
      </c>
      <c r="V3" t="s">
        <v>24</v>
      </c>
      <c r="W3" t="s">
        <v>25</v>
      </c>
      <c r="X3" s="6">
        <v>0.41319444444444442</v>
      </c>
    </row>
    <row r="4" spans="1:24" x14ac:dyDescent="0.1">
      <c r="B4" t="s">
        <v>222</v>
      </c>
      <c r="E4" t="s">
        <v>84</v>
      </c>
      <c r="H4" t="s">
        <v>222</v>
      </c>
      <c r="K4" t="s">
        <v>84</v>
      </c>
      <c r="N4" t="s">
        <v>84</v>
      </c>
      <c r="Q4" t="s">
        <v>222</v>
      </c>
      <c r="T4" t="s">
        <v>222</v>
      </c>
      <c r="W4" t="s">
        <v>122</v>
      </c>
    </row>
    <row r="5" spans="1:24" x14ac:dyDescent="0.1">
      <c r="A5" t="s">
        <v>27</v>
      </c>
      <c r="B5" t="s">
        <v>25</v>
      </c>
      <c r="C5" s="6">
        <v>0.44097222222222221</v>
      </c>
      <c r="D5" t="s">
        <v>27</v>
      </c>
      <c r="E5" t="s">
        <v>25</v>
      </c>
      <c r="F5" s="6">
        <v>0.44097222222222221</v>
      </c>
      <c r="G5" t="s">
        <v>27</v>
      </c>
      <c r="H5" t="s">
        <v>25</v>
      </c>
      <c r="I5" s="6">
        <v>0.44097222222222221</v>
      </c>
      <c r="J5" t="s">
        <v>27</v>
      </c>
      <c r="K5" t="s">
        <v>25</v>
      </c>
      <c r="L5" s="6">
        <v>0.44097222222222221</v>
      </c>
      <c r="M5" t="s">
        <v>27</v>
      </c>
      <c r="N5" t="s">
        <v>25</v>
      </c>
      <c r="O5" s="6">
        <v>0.44097222222222221</v>
      </c>
      <c r="P5" t="s">
        <v>27</v>
      </c>
      <c r="Q5" t="s">
        <v>25</v>
      </c>
      <c r="R5" s="6">
        <v>0.44097222222222221</v>
      </c>
      <c r="S5" t="s">
        <v>27</v>
      </c>
      <c r="T5" t="s">
        <v>25</v>
      </c>
      <c r="U5" s="6">
        <v>0.44097222222222221</v>
      </c>
      <c r="V5" t="s">
        <v>27</v>
      </c>
      <c r="W5" t="s">
        <v>25</v>
      </c>
      <c r="X5" s="6">
        <v>0.43402777777777779</v>
      </c>
    </row>
    <row r="6" spans="1:24" x14ac:dyDescent="0.1">
      <c r="B6" t="s">
        <v>89</v>
      </c>
      <c r="E6" t="s">
        <v>89</v>
      </c>
      <c r="H6" t="s">
        <v>89</v>
      </c>
      <c r="K6" t="s">
        <v>122</v>
      </c>
      <c r="N6" t="s">
        <v>89</v>
      </c>
      <c r="Q6" t="s">
        <v>89</v>
      </c>
      <c r="T6" t="s">
        <v>89</v>
      </c>
      <c r="W6" t="s">
        <v>89</v>
      </c>
    </row>
    <row r="7" spans="1:24" x14ac:dyDescent="0.1">
      <c r="A7" t="s">
        <v>30</v>
      </c>
      <c r="B7" t="s">
        <v>25</v>
      </c>
      <c r="C7" s="6">
        <v>0.46180555555555558</v>
      </c>
      <c r="D7" t="s">
        <v>30</v>
      </c>
      <c r="E7" t="s">
        <v>25</v>
      </c>
      <c r="F7" s="6">
        <v>0.46180555555555558</v>
      </c>
      <c r="G7" t="s">
        <v>30</v>
      </c>
      <c r="H7" t="s">
        <v>25</v>
      </c>
      <c r="I7" s="6">
        <v>0.46180555555555558</v>
      </c>
      <c r="J7" t="s">
        <v>30</v>
      </c>
      <c r="K7" t="s">
        <v>25</v>
      </c>
      <c r="L7" s="6">
        <v>0.46180555555555558</v>
      </c>
      <c r="M7" t="s">
        <v>30</v>
      </c>
      <c r="N7" t="s">
        <v>25</v>
      </c>
      <c r="O7" s="6">
        <v>0.46180555555555558</v>
      </c>
      <c r="P7" t="s">
        <v>30</v>
      </c>
      <c r="Q7" t="s">
        <v>25</v>
      </c>
      <c r="R7" s="6">
        <v>0.46180555555555558</v>
      </c>
      <c r="S7" t="s">
        <v>30</v>
      </c>
      <c r="T7" t="s">
        <v>25</v>
      </c>
      <c r="U7" s="6">
        <v>0.46180555555555558</v>
      </c>
      <c r="V7" t="s">
        <v>30</v>
      </c>
      <c r="W7" t="s">
        <v>246</v>
      </c>
      <c r="X7" s="6">
        <v>0.4548611111111111</v>
      </c>
    </row>
    <row r="8" spans="1:24" x14ac:dyDescent="0.1">
      <c r="B8" t="s">
        <v>122</v>
      </c>
      <c r="E8" t="s">
        <v>122</v>
      </c>
      <c r="H8" t="s">
        <v>122</v>
      </c>
      <c r="K8" t="s">
        <v>89</v>
      </c>
      <c r="N8" t="s">
        <v>122</v>
      </c>
      <c r="Q8" t="s">
        <v>122</v>
      </c>
      <c r="T8" t="s">
        <v>122</v>
      </c>
      <c r="W8" t="s">
        <v>122</v>
      </c>
    </row>
    <row r="9" spans="1:24" x14ac:dyDescent="0.1">
      <c r="A9" t="s">
        <v>32</v>
      </c>
      <c r="B9" t="s">
        <v>25</v>
      </c>
      <c r="C9" s="6">
        <v>0.4826388888888889</v>
      </c>
      <c r="D9" t="s">
        <v>32</v>
      </c>
      <c r="E9" t="s">
        <v>246</v>
      </c>
      <c r="F9" s="6">
        <v>0.4826388888888889</v>
      </c>
      <c r="G9" t="s">
        <v>32</v>
      </c>
      <c r="H9" t="s">
        <v>244</v>
      </c>
      <c r="I9" s="6">
        <v>0.4826388888888889</v>
      </c>
      <c r="J9" t="s">
        <v>32</v>
      </c>
      <c r="K9" t="s">
        <v>257</v>
      </c>
      <c r="L9" s="6">
        <v>0.4826388888888889</v>
      </c>
      <c r="M9" t="s">
        <v>32</v>
      </c>
      <c r="N9" t="s">
        <v>25</v>
      </c>
      <c r="O9" s="6">
        <v>0.4826388888888889</v>
      </c>
      <c r="P9" t="s">
        <v>32</v>
      </c>
      <c r="Q9" t="s">
        <v>25</v>
      </c>
      <c r="R9" s="6">
        <v>0.4826388888888889</v>
      </c>
      <c r="S9" t="s">
        <v>32</v>
      </c>
      <c r="T9" t="s">
        <v>25</v>
      </c>
      <c r="U9" s="6">
        <v>0.4826388888888889</v>
      </c>
      <c r="V9" t="s">
        <v>32</v>
      </c>
      <c r="W9" t="s">
        <v>257</v>
      </c>
      <c r="X9" s="6">
        <v>0.47569444444444442</v>
      </c>
    </row>
    <row r="10" spans="1:24" x14ac:dyDescent="0.1">
      <c r="B10" t="s">
        <v>89</v>
      </c>
      <c r="E10" t="s">
        <v>89</v>
      </c>
      <c r="H10" t="s">
        <v>245</v>
      </c>
      <c r="K10" t="s">
        <v>258</v>
      </c>
      <c r="N10" t="s">
        <v>89</v>
      </c>
      <c r="Q10" t="s">
        <v>84</v>
      </c>
      <c r="T10" t="s">
        <v>89</v>
      </c>
      <c r="W10" t="s">
        <v>258</v>
      </c>
    </row>
    <row r="11" spans="1:24" x14ac:dyDescent="0.1">
      <c r="A11" t="s">
        <v>34</v>
      </c>
      <c r="B11" t="s">
        <v>25</v>
      </c>
      <c r="C11" s="6">
        <v>0.51736111111111116</v>
      </c>
      <c r="D11" t="s">
        <v>34</v>
      </c>
      <c r="E11" t="s">
        <v>25</v>
      </c>
      <c r="F11" s="6">
        <v>0.51736111111111116</v>
      </c>
      <c r="G11" t="s">
        <v>34</v>
      </c>
      <c r="H11" t="s">
        <v>25</v>
      </c>
      <c r="I11" s="6">
        <v>0.51736111111111116</v>
      </c>
      <c r="J11" t="s">
        <v>34</v>
      </c>
      <c r="K11" t="s">
        <v>25</v>
      </c>
      <c r="L11" s="6">
        <v>0.51736111111111116</v>
      </c>
      <c r="M11" t="s">
        <v>34</v>
      </c>
      <c r="N11" t="s">
        <v>25</v>
      </c>
      <c r="O11" s="6">
        <v>0.51736111111111116</v>
      </c>
      <c r="P11" t="s">
        <v>34</v>
      </c>
      <c r="Q11" t="s">
        <v>25</v>
      </c>
      <c r="R11" s="6">
        <v>0.51736111111111116</v>
      </c>
      <c r="S11" t="s">
        <v>34</v>
      </c>
      <c r="T11" t="s">
        <v>25</v>
      </c>
      <c r="U11" s="6">
        <v>0.51736111111111116</v>
      </c>
      <c r="V11" t="s">
        <v>34</v>
      </c>
      <c r="W11" t="s">
        <v>25</v>
      </c>
      <c r="X11" s="6">
        <v>0.51041666666666663</v>
      </c>
    </row>
    <row r="12" spans="1:24" x14ac:dyDescent="0.1">
      <c r="B12" t="s">
        <v>29</v>
      </c>
      <c r="E12" t="s">
        <v>117</v>
      </c>
      <c r="H12" t="s">
        <v>259</v>
      </c>
      <c r="K12" t="s">
        <v>65</v>
      </c>
      <c r="N12" t="s">
        <v>117</v>
      </c>
      <c r="Q12" t="s">
        <v>29</v>
      </c>
      <c r="T12" t="s">
        <v>259</v>
      </c>
      <c r="W12" t="s">
        <v>117</v>
      </c>
    </row>
    <row r="13" spans="1:24" x14ac:dyDescent="0.1">
      <c r="A13" t="s">
        <v>35</v>
      </c>
      <c r="B13" t="s">
        <v>246</v>
      </c>
      <c r="C13" s="6">
        <v>0.54166666666666663</v>
      </c>
      <c r="D13" t="s">
        <v>35</v>
      </c>
      <c r="E13" t="s">
        <v>247</v>
      </c>
      <c r="F13" s="6">
        <v>0.53819444444444442</v>
      </c>
      <c r="G13" t="s">
        <v>35</v>
      </c>
      <c r="H13" t="s">
        <v>25</v>
      </c>
      <c r="I13" s="6">
        <v>0.53819444444444442</v>
      </c>
      <c r="J13" t="s">
        <v>35</v>
      </c>
      <c r="K13" t="s">
        <v>247</v>
      </c>
      <c r="L13" s="6">
        <v>0.53819444444444442</v>
      </c>
      <c r="M13" t="s">
        <v>35</v>
      </c>
      <c r="N13" t="s">
        <v>246</v>
      </c>
      <c r="O13" s="6">
        <v>0.53819444444444442</v>
      </c>
      <c r="P13" t="s">
        <v>35</v>
      </c>
      <c r="Q13" t="s">
        <v>247</v>
      </c>
      <c r="R13" s="6">
        <v>0.53819444444444442</v>
      </c>
      <c r="S13" t="s">
        <v>35</v>
      </c>
      <c r="T13" t="s">
        <v>246</v>
      </c>
      <c r="U13" s="6">
        <v>0.53819444444444442</v>
      </c>
      <c r="V13" t="s">
        <v>35</v>
      </c>
      <c r="W13" t="s">
        <v>25</v>
      </c>
      <c r="X13" s="6">
        <v>0.53125</v>
      </c>
    </row>
    <row r="14" spans="1:24" x14ac:dyDescent="0.1">
      <c r="B14" t="s">
        <v>275</v>
      </c>
      <c r="E14" t="s">
        <v>113</v>
      </c>
      <c r="H14" t="s">
        <v>228</v>
      </c>
      <c r="K14" t="s">
        <v>85</v>
      </c>
      <c r="N14" t="s">
        <v>89</v>
      </c>
      <c r="Q14" t="s">
        <v>78</v>
      </c>
      <c r="T14" t="s">
        <v>117</v>
      </c>
      <c r="W14" t="s">
        <v>29</v>
      </c>
    </row>
    <row r="15" spans="1:24" x14ac:dyDescent="0.1">
      <c r="A15" t="s">
        <v>38</v>
      </c>
      <c r="B15" t="s">
        <v>247</v>
      </c>
      <c r="C15" s="6">
        <v>0.5625</v>
      </c>
      <c r="D15" t="s">
        <v>38</v>
      </c>
      <c r="E15" t="s">
        <v>246</v>
      </c>
      <c r="F15" s="6">
        <v>0.55902777777777779</v>
      </c>
      <c r="G15" t="s">
        <v>38</v>
      </c>
      <c r="H15" t="s">
        <v>246</v>
      </c>
      <c r="I15" s="6">
        <v>0.55902777777777779</v>
      </c>
      <c r="J15" t="s">
        <v>38</v>
      </c>
      <c r="K15" t="s">
        <v>246</v>
      </c>
      <c r="L15" s="6">
        <v>0.55902777777777779</v>
      </c>
      <c r="M15" t="s">
        <v>38</v>
      </c>
      <c r="N15" t="s">
        <v>247</v>
      </c>
      <c r="O15" s="6">
        <v>0.55902777777777779</v>
      </c>
      <c r="P15" t="s">
        <v>38</v>
      </c>
      <c r="Q15" t="s">
        <v>246</v>
      </c>
      <c r="R15" s="6">
        <v>0.55902777777777779</v>
      </c>
      <c r="S15" t="s">
        <v>38</v>
      </c>
      <c r="T15" t="s">
        <v>247</v>
      </c>
      <c r="U15" s="6">
        <v>0.55902777777777779</v>
      </c>
      <c r="V15" t="s">
        <v>38</v>
      </c>
      <c r="W15" t="s">
        <v>246</v>
      </c>
      <c r="X15" s="6">
        <v>0.55208333333333337</v>
      </c>
    </row>
    <row r="16" spans="1:24" x14ac:dyDescent="0.1">
      <c r="B16" t="s">
        <v>78</v>
      </c>
      <c r="E16" t="s">
        <v>117</v>
      </c>
      <c r="H16" t="s">
        <v>122</v>
      </c>
      <c r="K16" t="s">
        <v>117</v>
      </c>
      <c r="N16" t="s">
        <v>361</v>
      </c>
      <c r="Q16" t="s">
        <v>359</v>
      </c>
      <c r="T16" t="s">
        <v>125</v>
      </c>
      <c r="W16" t="s">
        <v>29</v>
      </c>
    </row>
    <row r="17" spans="1:24" x14ac:dyDescent="0.1">
      <c r="A17" t="s">
        <v>40</v>
      </c>
      <c r="B17" t="s">
        <v>254</v>
      </c>
      <c r="C17" s="6">
        <v>0.58333333333333337</v>
      </c>
      <c r="D17" t="s">
        <v>40</v>
      </c>
      <c r="E17" t="s">
        <v>247</v>
      </c>
      <c r="F17" s="6">
        <v>0.57986111111111116</v>
      </c>
      <c r="G17" t="s">
        <v>40</v>
      </c>
      <c r="H17" t="s">
        <v>247</v>
      </c>
      <c r="I17" s="6">
        <v>0.57986111111111116</v>
      </c>
      <c r="J17" t="s">
        <v>40</v>
      </c>
      <c r="K17" t="s">
        <v>254</v>
      </c>
      <c r="L17" s="6">
        <v>0.57986111111111116</v>
      </c>
      <c r="M17" t="s">
        <v>40</v>
      </c>
      <c r="N17" t="s">
        <v>247</v>
      </c>
      <c r="O17" s="6">
        <v>0.58333333333333337</v>
      </c>
      <c r="P17" t="s">
        <v>40</v>
      </c>
      <c r="Q17" t="s">
        <v>254</v>
      </c>
      <c r="R17" s="6">
        <v>0.57986111111111116</v>
      </c>
      <c r="S17" t="s">
        <v>40</v>
      </c>
      <c r="T17" t="s">
        <v>1123</v>
      </c>
      <c r="U17" s="6">
        <v>0.58333333333333337</v>
      </c>
      <c r="V17" t="s">
        <v>40</v>
      </c>
      <c r="W17" t="s">
        <v>247</v>
      </c>
      <c r="X17" s="6">
        <v>0.57291666666666663</v>
      </c>
    </row>
    <row r="18" spans="1:24" x14ac:dyDescent="0.1">
      <c r="B18" t="s">
        <v>171</v>
      </c>
      <c r="E18" t="s">
        <v>85</v>
      </c>
      <c r="H18" t="s">
        <v>78</v>
      </c>
      <c r="K18" t="s">
        <v>78</v>
      </c>
      <c r="N18" t="s">
        <v>85</v>
      </c>
      <c r="Q18" t="s">
        <v>171</v>
      </c>
      <c r="T18" t="s">
        <v>244</v>
      </c>
      <c r="W18" t="s">
        <v>78</v>
      </c>
    </row>
    <row r="19" spans="1:24" x14ac:dyDescent="0.1">
      <c r="A19" t="s">
        <v>42</v>
      </c>
      <c r="B19" t="s">
        <v>1046</v>
      </c>
      <c r="C19" s="6">
        <v>0.60416666666666663</v>
      </c>
      <c r="D19" t="s">
        <v>42</v>
      </c>
      <c r="E19" t="s">
        <v>1061</v>
      </c>
      <c r="F19" s="6">
        <v>0.60069444444444442</v>
      </c>
      <c r="G19" t="s">
        <v>42</v>
      </c>
      <c r="H19" t="s">
        <v>1074</v>
      </c>
      <c r="I19" s="6">
        <v>0.60416666666666663</v>
      </c>
      <c r="J19" t="s">
        <v>42</v>
      </c>
      <c r="K19" t="s">
        <v>1083</v>
      </c>
      <c r="L19" s="6">
        <v>0.60416666666666663</v>
      </c>
      <c r="M19" t="s">
        <v>42</v>
      </c>
      <c r="N19" t="s">
        <v>1093</v>
      </c>
      <c r="O19" s="6">
        <v>0.60763888888888884</v>
      </c>
      <c r="P19" t="s">
        <v>42</v>
      </c>
      <c r="Q19" t="s">
        <v>1108</v>
      </c>
      <c r="R19" s="6">
        <v>0.60069444444444442</v>
      </c>
      <c r="T19" t="s">
        <v>1124</v>
      </c>
      <c r="V19" t="s">
        <v>42</v>
      </c>
      <c r="W19" t="s">
        <v>1139</v>
      </c>
      <c r="X19" s="6">
        <v>0.59375</v>
      </c>
    </row>
    <row r="20" spans="1:24" x14ac:dyDescent="0.1">
      <c r="B20" t="s">
        <v>246</v>
      </c>
      <c r="E20" t="s">
        <v>254</v>
      </c>
      <c r="H20" t="s">
        <v>254</v>
      </c>
      <c r="K20" t="s">
        <v>250</v>
      </c>
      <c r="N20" t="s">
        <v>254</v>
      </c>
      <c r="Q20" t="s">
        <v>254</v>
      </c>
      <c r="S20" t="s">
        <v>42</v>
      </c>
      <c r="T20" t="s">
        <v>1125</v>
      </c>
      <c r="U20" s="6">
        <v>0.60763888888888884</v>
      </c>
      <c r="W20" t="s">
        <v>254</v>
      </c>
    </row>
    <row r="21" spans="1:24" x14ac:dyDescent="0.1">
      <c r="B21" t="s">
        <v>259</v>
      </c>
      <c r="E21" t="s">
        <v>60</v>
      </c>
      <c r="H21" t="s">
        <v>597</v>
      </c>
      <c r="K21" t="s">
        <v>361</v>
      </c>
      <c r="N21" t="s">
        <v>135</v>
      </c>
      <c r="Q21" t="s">
        <v>125</v>
      </c>
      <c r="T21" t="s">
        <v>254</v>
      </c>
      <c r="W21" t="s">
        <v>85</v>
      </c>
    </row>
    <row r="22" spans="1:24" x14ac:dyDescent="0.1">
      <c r="A22" t="s">
        <v>46</v>
      </c>
      <c r="B22" t="s">
        <v>1047</v>
      </c>
      <c r="C22" s="6">
        <v>0.62847222222222221</v>
      </c>
      <c r="D22" t="s">
        <v>46</v>
      </c>
      <c r="E22" t="s">
        <v>1062</v>
      </c>
      <c r="F22" s="6">
        <v>0.625</v>
      </c>
      <c r="G22" t="s">
        <v>46</v>
      </c>
      <c r="H22" t="s">
        <v>1075</v>
      </c>
      <c r="I22" s="6">
        <v>0.62847222222222221</v>
      </c>
      <c r="J22" t="s">
        <v>46</v>
      </c>
      <c r="K22" t="s">
        <v>1084</v>
      </c>
      <c r="L22" s="6">
        <v>0.62847222222222221</v>
      </c>
      <c r="M22" t="s">
        <v>46</v>
      </c>
      <c r="N22" t="s">
        <v>1094</v>
      </c>
      <c r="O22" s="6">
        <v>0.63194444444444442</v>
      </c>
      <c r="P22" t="s">
        <v>46</v>
      </c>
      <c r="Q22" t="s">
        <v>1109</v>
      </c>
      <c r="R22" s="6">
        <v>0.625</v>
      </c>
      <c r="T22" t="s">
        <v>565</v>
      </c>
      <c r="V22" t="s">
        <v>46</v>
      </c>
      <c r="W22" t="s">
        <v>1140</v>
      </c>
      <c r="X22" s="6">
        <v>0.61805555555555558</v>
      </c>
    </row>
    <row r="23" spans="1:24" x14ac:dyDescent="0.1">
      <c r="B23" t="s">
        <v>250</v>
      </c>
      <c r="E23" t="s">
        <v>250</v>
      </c>
      <c r="H23" t="s">
        <v>250</v>
      </c>
      <c r="K23" t="s">
        <v>264</v>
      </c>
      <c r="N23" t="s">
        <v>250</v>
      </c>
      <c r="Q23" t="s">
        <v>264</v>
      </c>
      <c r="S23" t="s">
        <v>46</v>
      </c>
      <c r="T23" t="s">
        <v>1126</v>
      </c>
      <c r="U23" s="6">
        <v>0.63194444444444442</v>
      </c>
      <c r="W23" t="s">
        <v>250</v>
      </c>
    </row>
    <row r="24" spans="1:24" x14ac:dyDescent="0.1">
      <c r="B24" t="s">
        <v>188</v>
      </c>
      <c r="E24" t="s">
        <v>334</v>
      </c>
      <c r="H24" t="s">
        <v>78</v>
      </c>
      <c r="K24" t="s">
        <v>312</v>
      </c>
      <c r="N24" t="s">
        <v>167</v>
      </c>
      <c r="Q24" t="s">
        <v>342</v>
      </c>
      <c r="T24" t="s">
        <v>250</v>
      </c>
      <c r="W24" t="s">
        <v>48</v>
      </c>
    </row>
    <row r="25" spans="1:24" x14ac:dyDescent="0.1">
      <c r="A25" t="s">
        <v>49</v>
      </c>
      <c r="B25" t="s">
        <v>1048</v>
      </c>
      <c r="C25" s="6">
        <v>0.65625</v>
      </c>
      <c r="D25" t="s">
        <v>49</v>
      </c>
      <c r="E25" t="s">
        <v>1063</v>
      </c>
      <c r="F25" s="6">
        <v>0.65625</v>
      </c>
      <c r="G25" t="s">
        <v>49</v>
      </c>
      <c r="H25" t="s">
        <v>1076</v>
      </c>
      <c r="I25" s="6">
        <v>0.65625</v>
      </c>
      <c r="J25" t="s">
        <v>49</v>
      </c>
      <c r="K25" t="s">
        <v>1085</v>
      </c>
      <c r="L25" s="6">
        <v>0.65625</v>
      </c>
      <c r="M25" t="s">
        <v>49</v>
      </c>
      <c r="N25" t="s">
        <v>1095</v>
      </c>
      <c r="O25" s="6">
        <v>0.65625</v>
      </c>
      <c r="P25" t="s">
        <v>49</v>
      </c>
      <c r="Q25" t="s">
        <v>1110</v>
      </c>
      <c r="R25" s="6">
        <v>0.65625</v>
      </c>
      <c r="T25" t="s">
        <v>113</v>
      </c>
      <c r="V25" t="s">
        <v>49</v>
      </c>
      <c r="W25" t="s">
        <v>1141</v>
      </c>
      <c r="X25" s="6">
        <v>0.64583333333333337</v>
      </c>
    </row>
    <row r="26" spans="1:24" x14ac:dyDescent="0.1">
      <c r="B26" t="s">
        <v>264</v>
      </c>
      <c r="E26" t="s">
        <v>264</v>
      </c>
      <c r="H26" t="s">
        <v>1077</v>
      </c>
      <c r="K26" t="s">
        <v>1086</v>
      </c>
      <c r="N26" t="s">
        <v>1068</v>
      </c>
      <c r="Q26" t="s">
        <v>1111</v>
      </c>
      <c r="S26" t="s">
        <v>49</v>
      </c>
      <c r="T26" t="s">
        <v>1127</v>
      </c>
      <c r="U26" s="6">
        <v>0.65625</v>
      </c>
      <c r="W26" t="s">
        <v>264</v>
      </c>
    </row>
    <row r="27" spans="1:24" x14ac:dyDescent="0.1">
      <c r="B27" t="s">
        <v>1049</v>
      </c>
      <c r="E27" t="s">
        <v>194</v>
      </c>
      <c r="H27" t="s">
        <v>264</v>
      </c>
      <c r="K27" t="s">
        <v>1087</v>
      </c>
      <c r="N27" t="s">
        <v>225</v>
      </c>
      <c r="Q27" t="s">
        <v>1087</v>
      </c>
      <c r="T27" t="s">
        <v>225</v>
      </c>
      <c r="W27" t="s">
        <v>188</v>
      </c>
    </row>
    <row r="28" spans="1:24" x14ac:dyDescent="0.1">
      <c r="A28" t="s">
        <v>53</v>
      </c>
      <c r="B28" t="s">
        <v>254</v>
      </c>
      <c r="C28" s="6">
        <v>0.68402777777777779</v>
      </c>
      <c r="D28" t="s">
        <v>53</v>
      </c>
      <c r="E28" t="s">
        <v>254</v>
      </c>
      <c r="F28" s="6">
        <v>0.68402777777777779</v>
      </c>
      <c r="H28" t="s">
        <v>676</v>
      </c>
      <c r="K28" t="s">
        <v>225</v>
      </c>
      <c r="N28" t="s">
        <v>142</v>
      </c>
      <c r="Q28" t="s">
        <v>225</v>
      </c>
      <c r="T28" t="s">
        <v>275</v>
      </c>
      <c r="V28" t="s">
        <v>53</v>
      </c>
      <c r="W28" t="s">
        <v>254</v>
      </c>
      <c r="X28" s="6">
        <v>0.67361111111111116</v>
      </c>
    </row>
    <row r="29" spans="1:24" x14ac:dyDescent="0.1">
      <c r="B29" t="s">
        <v>78</v>
      </c>
      <c r="E29" t="s">
        <v>85</v>
      </c>
      <c r="G29" t="s">
        <v>53</v>
      </c>
      <c r="H29" t="s">
        <v>247</v>
      </c>
      <c r="I29" s="6">
        <v>0.68402777777777779</v>
      </c>
      <c r="K29" t="s">
        <v>29</v>
      </c>
      <c r="M29" t="s">
        <v>53</v>
      </c>
      <c r="N29" t="s">
        <v>254</v>
      </c>
      <c r="O29" s="6">
        <v>0.68402777777777779</v>
      </c>
      <c r="Q29" t="s">
        <v>1112</v>
      </c>
      <c r="S29" t="s">
        <v>53</v>
      </c>
      <c r="T29" t="s">
        <v>247</v>
      </c>
      <c r="U29" s="6">
        <v>0.68402777777777779</v>
      </c>
      <c r="W29" t="s">
        <v>113</v>
      </c>
    </row>
    <row r="30" spans="1:24" x14ac:dyDescent="0.1">
      <c r="H30" t="s">
        <v>171</v>
      </c>
      <c r="J30" t="s">
        <v>53</v>
      </c>
      <c r="K30" t="s">
        <v>254</v>
      </c>
      <c r="L30" s="6">
        <v>0.68402777777777779</v>
      </c>
      <c r="N30" t="s">
        <v>85</v>
      </c>
      <c r="P30" t="s">
        <v>53</v>
      </c>
      <c r="Q30" t="s">
        <v>247</v>
      </c>
      <c r="R30" s="6">
        <v>0.68402777777777779</v>
      </c>
      <c r="T30" t="s">
        <v>85</v>
      </c>
    </row>
    <row r="31" spans="1:24" x14ac:dyDescent="0.1">
      <c r="K31" t="s">
        <v>334</v>
      </c>
      <c r="Q31" t="s">
        <v>255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08EEA-7E74-4DCD-B7DD-244A53391307}">
  <sheetPr codeName="Sheet11"/>
  <dimension ref="A1:R30"/>
  <sheetViews>
    <sheetView zoomScaleNormal="100" zoomScaleSheetLayoutView="100" workbookViewId="0"/>
  </sheetViews>
  <sheetFormatPr defaultRowHeight="13.5" x14ac:dyDescent="0.1"/>
  <cols>
    <col min="1" max="1" width="11.1796875" bestFit="1" customWidth="1"/>
    <col min="2" max="2" width="20.453125" bestFit="1" customWidth="1"/>
    <col min="3" max="3" width="9.26953125" bestFit="1" customWidth="1"/>
    <col min="4" max="4" width="11.1796875" bestFit="1" customWidth="1"/>
    <col min="5" max="5" width="19.90625" bestFit="1" customWidth="1"/>
    <col min="6" max="6" width="9.26953125" bestFit="1" customWidth="1"/>
    <col min="7" max="7" width="11.1796875" bestFit="1" customWidth="1"/>
    <col min="8" max="8" width="25.08984375" bestFit="1" customWidth="1"/>
    <col min="9" max="9" width="9.26953125" bestFit="1" customWidth="1"/>
    <col min="10" max="10" width="11.1796875" bestFit="1" customWidth="1"/>
    <col min="11" max="11" width="22.90625" bestFit="1" customWidth="1"/>
    <col min="12" max="12" width="9.26953125" bestFit="1" customWidth="1"/>
    <col min="13" max="13" width="11.1796875" bestFit="1" customWidth="1"/>
    <col min="14" max="14" width="33.6796875" bestFit="1" customWidth="1"/>
    <col min="15" max="15" width="9.26953125" bestFit="1" customWidth="1"/>
    <col min="16" max="16" width="11.1796875" bestFit="1" customWidth="1"/>
    <col min="17" max="17" width="24.26953125" bestFit="1" customWidth="1"/>
    <col min="18" max="18" width="9.26953125" bestFit="1" customWidth="1"/>
  </cols>
  <sheetData>
    <row r="1" spans="1:18" x14ac:dyDescent="0.1">
      <c r="A1" t="s">
        <v>1102</v>
      </c>
      <c r="D1" t="s">
        <v>1117</v>
      </c>
      <c r="G1" t="s">
        <v>1133</v>
      </c>
      <c r="J1" t="s">
        <v>1146</v>
      </c>
      <c r="M1" t="s">
        <v>323</v>
      </c>
      <c r="P1" t="s">
        <v>347</v>
      </c>
    </row>
    <row r="2" spans="1:18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</row>
    <row r="3" spans="1:18" x14ac:dyDescent="0.1">
      <c r="A3" t="s">
        <v>24</v>
      </c>
      <c r="B3" t="s">
        <v>25</v>
      </c>
      <c r="C3" s="6">
        <v>0.40625</v>
      </c>
      <c r="D3" t="s">
        <v>24</v>
      </c>
      <c r="E3" t="s">
        <v>25</v>
      </c>
      <c r="F3" s="6">
        <v>0.40625</v>
      </c>
      <c r="G3" t="s">
        <v>24</v>
      </c>
      <c r="H3" t="s">
        <v>25</v>
      </c>
      <c r="I3" s="6">
        <v>0.40625</v>
      </c>
      <c r="J3" t="s">
        <v>24</v>
      </c>
      <c r="K3" t="s">
        <v>25</v>
      </c>
      <c r="L3" s="6">
        <v>0.40625</v>
      </c>
      <c r="M3" t="s">
        <v>24</v>
      </c>
      <c r="N3" t="s">
        <v>25</v>
      </c>
      <c r="O3" s="6">
        <v>0.40625</v>
      </c>
      <c r="P3" t="s">
        <v>24</v>
      </c>
      <c r="Q3" t="s">
        <v>25</v>
      </c>
      <c r="R3" s="6">
        <v>0.4201388888888889</v>
      </c>
    </row>
    <row r="4" spans="1:18" x14ac:dyDescent="0.1">
      <c r="B4" t="s">
        <v>84</v>
      </c>
      <c r="E4" t="s">
        <v>77</v>
      </c>
      <c r="H4" t="s">
        <v>89</v>
      </c>
      <c r="K4" t="s">
        <v>84</v>
      </c>
      <c r="N4" t="s">
        <v>77</v>
      </c>
      <c r="Q4" t="s">
        <v>158</v>
      </c>
    </row>
    <row r="5" spans="1:18" x14ac:dyDescent="0.1">
      <c r="A5" t="s">
        <v>27</v>
      </c>
      <c r="B5" t="s">
        <v>25</v>
      </c>
      <c r="C5" s="6">
        <v>0.4236111111111111</v>
      </c>
      <c r="D5" t="s">
        <v>27</v>
      </c>
      <c r="E5" t="s">
        <v>25</v>
      </c>
      <c r="F5" s="6">
        <v>0.42708333333333331</v>
      </c>
      <c r="G5" t="s">
        <v>27</v>
      </c>
      <c r="H5" t="s">
        <v>25</v>
      </c>
      <c r="I5" s="6">
        <v>0.4236111111111111</v>
      </c>
      <c r="J5" t="s">
        <v>27</v>
      </c>
      <c r="K5" t="s">
        <v>25</v>
      </c>
      <c r="L5" s="6">
        <v>0.42708333333333331</v>
      </c>
      <c r="M5" t="s">
        <v>27</v>
      </c>
      <c r="N5" t="s">
        <v>25</v>
      </c>
      <c r="O5" s="6">
        <v>0.4236111111111111</v>
      </c>
      <c r="P5" t="s">
        <v>27</v>
      </c>
      <c r="Q5" t="s">
        <v>25</v>
      </c>
      <c r="R5" s="6">
        <v>0.44097222222222221</v>
      </c>
    </row>
    <row r="6" spans="1:18" x14ac:dyDescent="0.1">
      <c r="B6" t="s">
        <v>122</v>
      </c>
      <c r="E6" t="s">
        <v>89</v>
      </c>
      <c r="H6" t="s">
        <v>222</v>
      </c>
      <c r="K6" t="s">
        <v>77</v>
      </c>
      <c r="N6" t="s">
        <v>84</v>
      </c>
      <c r="Q6" t="s">
        <v>134</v>
      </c>
    </row>
    <row r="7" spans="1:18" x14ac:dyDescent="0.1">
      <c r="A7" t="s">
        <v>30</v>
      </c>
      <c r="B7" t="s">
        <v>25</v>
      </c>
      <c r="C7" s="6">
        <v>0.44444444444444442</v>
      </c>
      <c r="D7" t="s">
        <v>30</v>
      </c>
      <c r="E7" t="s">
        <v>25</v>
      </c>
      <c r="F7" s="6">
        <v>0.44791666666666669</v>
      </c>
      <c r="G7" t="s">
        <v>30</v>
      </c>
      <c r="H7" t="s">
        <v>25</v>
      </c>
      <c r="I7" s="6">
        <v>0.44444444444444442</v>
      </c>
      <c r="J7" t="s">
        <v>30</v>
      </c>
      <c r="K7" t="s">
        <v>25</v>
      </c>
      <c r="L7" s="6">
        <v>0.44791666666666669</v>
      </c>
      <c r="M7" t="s">
        <v>30</v>
      </c>
      <c r="N7" t="s">
        <v>25</v>
      </c>
      <c r="O7" s="6">
        <v>0.44444444444444442</v>
      </c>
      <c r="P7" t="s">
        <v>30</v>
      </c>
      <c r="Q7" t="s">
        <v>25</v>
      </c>
      <c r="R7" s="6">
        <v>0.46180555555555558</v>
      </c>
    </row>
    <row r="8" spans="1:18" x14ac:dyDescent="0.1">
      <c r="B8" t="s">
        <v>134</v>
      </c>
      <c r="E8" t="s">
        <v>217</v>
      </c>
      <c r="H8" t="s">
        <v>134</v>
      </c>
      <c r="K8" t="s">
        <v>89</v>
      </c>
      <c r="N8" t="s">
        <v>76</v>
      </c>
      <c r="Q8" t="s">
        <v>122</v>
      </c>
    </row>
    <row r="9" spans="1:18" x14ac:dyDescent="0.1">
      <c r="A9" t="s">
        <v>32</v>
      </c>
      <c r="B9" t="s">
        <v>25</v>
      </c>
      <c r="C9" s="6">
        <v>0.46527777777777779</v>
      </c>
      <c r="D9" t="s">
        <v>32</v>
      </c>
      <c r="E9" t="s">
        <v>25</v>
      </c>
      <c r="F9" s="6">
        <v>0.46875</v>
      </c>
      <c r="G9" t="s">
        <v>32</v>
      </c>
      <c r="H9" t="s">
        <v>25</v>
      </c>
      <c r="I9" s="6">
        <v>0.46527777777777779</v>
      </c>
      <c r="J9" t="s">
        <v>32</v>
      </c>
      <c r="K9" t="s">
        <v>25</v>
      </c>
      <c r="L9" s="6">
        <v>0.46875</v>
      </c>
      <c r="M9" t="s">
        <v>32</v>
      </c>
      <c r="N9" t="s">
        <v>25</v>
      </c>
      <c r="O9" s="6">
        <v>0.46527777777777779</v>
      </c>
      <c r="P9" t="s">
        <v>32</v>
      </c>
      <c r="Q9" t="s">
        <v>25</v>
      </c>
      <c r="R9" s="6">
        <v>0.4826388888888889</v>
      </c>
    </row>
    <row r="10" spans="1:18" x14ac:dyDescent="0.1">
      <c r="B10" t="s">
        <v>1103</v>
      </c>
      <c r="E10" t="s">
        <v>75</v>
      </c>
      <c r="H10" t="s">
        <v>228</v>
      </c>
      <c r="K10" t="s">
        <v>29</v>
      </c>
      <c r="N10" t="s">
        <v>324</v>
      </c>
      <c r="Q10" t="s">
        <v>33</v>
      </c>
    </row>
    <row r="11" spans="1:18" x14ac:dyDescent="0.1">
      <c r="A11" t="s">
        <v>34</v>
      </c>
      <c r="B11" t="s">
        <v>25</v>
      </c>
      <c r="C11" s="6">
        <v>0.5</v>
      </c>
      <c r="D11" t="s">
        <v>34</v>
      </c>
      <c r="E11" t="s">
        <v>25</v>
      </c>
      <c r="F11" s="6">
        <v>0.50347222222222221</v>
      </c>
      <c r="G11" t="s">
        <v>34</v>
      </c>
      <c r="H11" t="s">
        <v>25</v>
      </c>
      <c r="I11" s="6">
        <v>0.5</v>
      </c>
      <c r="J11" t="s">
        <v>34</v>
      </c>
      <c r="K11" t="s">
        <v>25</v>
      </c>
      <c r="L11" s="6">
        <v>0.50347222222222221</v>
      </c>
      <c r="M11" t="s">
        <v>34</v>
      </c>
      <c r="N11" t="s">
        <v>25</v>
      </c>
      <c r="O11" s="6">
        <v>0.5</v>
      </c>
      <c r="P11" t="s">
        <v>34</v>
      </c>
      <c r="Q11" t="s">
        <v>25</v>
      </c>
      <c r="R11" s="6">
        <v>0.51736111111111116</v>
      </c>
    </row>
    <row r="12" spans="1:18" x14ac:dyDescent="0.1">
      <c r="B12" t="s">
        <v>29</v>
      </c>
      <c r="E12" t="s">
        <v>108</v>
      </c>
      <c r="H12" t="s">
        <v>29</v>
      </c>
      <c r="K12" t="s">
        <v>76</v>
      </c>
      <c r="N12" t="s">
        <v>108</v>
      </c>
      <c r="Q12" t="s">
        <v>29</v>
      </c>
    </row>
    <row r="13" spans="1:18" x14ac:dyDescent="0.1">
      <c r="A13" t="s">
        <v>35</v>
      </c>
      <c r="B13" t="s">
        <v>246</v>
      </c>
      <c r="C13" s="6">
        <v>0.52083333333333337</v>
      </c>
      <c r="D13" t="s">
        <v>35</v>
      </c>
      <c r="E13" t="s">
        <v>247</v>
      </c>
      <c r="F13" s="6">
        <v>0.52430555555555558</v>
      </c>
      <c r="G13" t="s">
        <v>35</v>
      </c>
      <c r="H13" t="s">
        <v>25</v>
      </c>
      <c r="I13" s="6">
        <v>0.52083333333333337</v>
      </c>
      <c r="J13" t="s">
        <v>35</v>
      </c>
      <c r="K13" t="s">
        <v>247</v>
      </c>
      <c r="L13" s="6">
        <v>0.52430555555555558</v>
      </c>
      <c r="M13" t="s">
        <v>35</v>
      </c>
      <c r="N13" t="s">
        <v>247</v>
      </c>
      <c r="O13" s="6">
        <v>0.52083333333333337</v>
      </c>
      <c r="P13" t="s">
        <v>35</v>
      </c>
      <c r="Q13" t="s">
        <v>247</v>
      </c>
      <c r="R13" s="6">
        <v>0.53819444444444442</v>
      </c>
    </row>
    <row r="14" spans="1:18" x14ac:dyDescent="0.1">
      <c r="B14" t="s">
        <v>89</v>
      </c>
      <c r="E14" t="s">
        <v>316</v>
      </c>
      <c r="H14" t="s">
        <v>75</v>
      </c>
      <c r="K14" t="s">
        <v>135</v>
      </c>
      <c r="N14" t="s">
        <v>114</v>
      </c>
      <c r="Q14" t="s">
        <v>83</v>
      </c>
    </row>
    <row r="15" spans="1:18" x14ac:dyDescent="0.1">
      <c r="A15" t="s">
        <v>38</v>
      </c>
      <c r="B15" t="s">
        <v>247</v>
      </c>
      <c r="C15" s="6">
        <v>0.54166666666666663</v>
      </c>
      <c r="D15" t="s">
        <v>38</v>
      </c>
      <c r="E15" t="s">
        <v>247</v>
      </c>
      <c r="F15" s="6">
        <v>0.54513888888888884</v>
      </c>
      <c r="G15" t="s">
        <v>38</v>
      </c>
      <c r="H15" t="s">
        <v>247</v>
      </c>
      <c r="I15" s="6">
        <v>0.54166666666666663</v>
      </c>
      <c r="J15" t="s">
        <v>38</v>
      </c>
      <c r="K15" t="s">
        <v>247</v>
      </c>
      <c r="L15" s="6">
        <v>0.54513888888888884</v>
      </c>
      <c r="M15" t="s">
        <v>38</v>
      </c>
      <c r="N15" t="s">
        <v>247</v>
      </c>
      <c r="O15" s="6">
        <v>0.54166666666666663</v>
      </c>
      <c r="P15" t="s">
        <v>38</v>
      </c>
      <c r="Q15" t="s">
        <v>247</v>
      </c>
      <c r="R15" s="6">
        <v>0.55902777777777779</v>
      </c>
    </row>
    <row r="16" spans="1:18" x14ac:dyDescent="0.1">
      <c r="B16" t="s">
        <v>115</v>
      </c>
      <c r="E16" t="s">
        <v>78</v>
      </c>
      <c r="H16" t="s">
        <v>114</v>
      </c>
      <c r="K16" t="s">
        <v>78</v>
      </c>
      <c r="N16" t="s">
        <v>325</v>
      </c>
      <c r="Q16" t="s">
        <v>113</v>
      </c>
    </row>
    <row r="17" spans="1:18" x14ac:dyDescent="0.1">
      <c r="A17" t="s">
        <v>40</v>
      </c>
      <c r="B17" t="s">
        <v>247</v>
      </c>
      <c r="C17" s="6">
        <v>0.56597222222222221</v>
      </c>
      <c r="D17" t="s">
        <v>40</v>
      </c>
      <c r="E17" t="s">
        <v>247</v>
      </c>
      <c r="F17" s="6">
        <v>0.56597222222222221</v>
      </c>
      <c r="G17" t="s">
        <v>40</v>
      </c>
      <c r="H17" t="s">
        <v>247</v>
      </c>
      <c r="I17" s="6">
        <v>0.56597222222222221</v>
      </c>
      <c r="J17" t="s">
        <v>40</v>
      </c>
      <c r="K17" t="s">
        <v>247</v>
      </c>
      <c r="L17" s="6">
        <v>0.56597222222222221</v>
      </c>
      <c r="M17" t="s">
        <v>40</v>
      </c>
      <c r="N17" t="s">
        <v>247</v>
      </c>
      <c r="O17" s="6">
        <v>0.56597222222222221</v>
      </c>
      <c r="P17" t="s">
        <v>40</v>
      </c>
      <c r="Q17" t="s">
        <v>247</v>
      </c>
      <c r="R17" s="6">
        <v>0.57986111111111116</v>
      </c>
    </row>
    <row r="18" spans="1:18" x14ac:dyDescent="0.1">
      <c r="B18" t="s">
        <v>85</v>
      </c>
      <c r="E18" t="s">
        <v>60</v>
      </c>
      <c r="H18" t="s">
        <v>60</v>
      </c>
      <c r="K18" t="s">
        <v>111</v>
      </c>
      <c r="N18" t="s">
        <v>60</v>
      </c>
      <c r="Q18" t="s">
        <v>115</v>
      </c>
    </row>
    <row r="19" spans="1:18" x14ac:dyDescent="0.1">
      <c r="A19" t="s">
        <v>42</v>
      </c>
      <c r="B19" t="s">
        <v>1104</v>
      </c>
      <c r="C19" s="6">
        <v>0.59027777777777779</v>
      </c>
      <c r="D19" t="s">
        <v>42</v>
      </c>
      <c r="E19" t="s">
        <v>1118</v>
      </c>
      <c r="F19" s="6">
        <v>0.58680555555555558</v>
      </c>
      <c r="G19" t="s">
        <v>42</v>
      </c>
      <c r="H19" t="s">
        <v>1134</v>
      </c>
      <c r="I19" s="6">
        <v>0.59027777777777779</v>
      </c>
      <c r="J19" t="s">
        <v>42</v>
      </c>
      <c r="K19" t="s">
        <v>1147</v>
      </c>
      <c r="L19" s="6">
        <v>0.58680555555555558</v>
      </c>
      <c r="M19" t="s">
        <v>42</v>
      </c>
      <c r="N19" t="s">
        <v>326</v>
      </c>
      <c r="O19" s="6">
        <v>0.59027777777777779</v>
      </c>
      <c r="P19" t="s">
        <v>42</v>
      </c>
      <c r="Q19" t="s">
        <v>343</v>
      </c>
      <c r="R19" s="6">
        <v>0.60069444444444442</v>
      </c>
    </row>
    <row r="20" spans="1:18" x14ac:dyDescent="0.1">
      <c r="B20" t="s">
        <v>247</v>
      </c>
      <c r="E20" t="s">
        <v>254</v>
      </c>
      <c r="H20" t="s">
        <v>254</v>
      </c>
      <c r="K20" t="s">
        <v>246</v>
      </c>
      <c r="N20" t="s">
        <v>247</v>
      </c>
      <c r="Q20" t="s">
        <v>246</v>
      </c>
    </row>
    <row r="21" spans="1:18" x14ac:dyDescent="0.1">
      <c r="B21" t="s">
        <v>83</v>
      </c>
      <c r="E21" t="s">
        <v>85</v>
      </c>
      <c r="H21" t="s">
        <v>111</v>
      </c>
      <c r="K21" t="s">
        <v>76</v>
      </c>
      <c r="N21" t="s">
        <v>162</v>
      </c>
      <c r="Q21" t="s">
        <v>108</v>
      </c>
    </row>
    <row r="22" spans="1:18" x14ac:dyDescent="0.1">
      <c r="A22" t="s">
        <v>46</v>
      </c>
      <c r="B22" t="s">
        <v>1105</v>
      </c>
      <c r="C22" s="6">
        <v>0.61458333333333337</v>
      </c>
      <c r="D22" t="s">
        <v>46</v>
      </c>
      <c r="E22" t="s">
        <v>1119</v>
      </c>
      <c r="F22" s="6">
        <v>0.61111111111111116</v>
      </c>
      <c r="G22" t="s">
        <v>46</v>
      </c>
      <c r="H22" t="s">
        <v>1135</v>
      </c>
      <c r="I22" s="6">
        <v>0.61458333333333337</v>
      </c>
      <c r="J22" t="s">
        <v>46</v>
      </c>
      <c r="K22" t="s">
        <v>1148</v>
      </c>
      <c r="L22" s="6">
        <v>0.61111111111111116</v>
      </c>
      <c r="M22" t="s">
        <v>46</v>
      </c>
      <c r="N22" t="s">
        <v>327</v>
      </c>
      <c r="O22" s="6">
        <v>0.61458333333333337</v>
      </c>
      <c r="P22" t="s">
        <v>46</v>
      </c>
      <c r="Q22" t="s">
        <v>344</v>
      </c>
      <c r="R22" s="6">
        <v>0.625</v>
      </c>
    </row>
    <row r="23" spans="1:18" x14ac:dyDescent="0.1">
      <c r="B23" t="s">
        <v>254</v>
      </c>
      <c r="E23" t="s">
        <v>225</v>
      </c>
      <c r="H23" t="s">
        <v>250</v>
      </c>
      <c r="K23" t="s">
        <v>254</v>
      </c>
      <c r="N23" t="s">
        <v>254</v>
      </c>
      <c r="Q23" t="s">
        <v>250</v>
      </c>
    </row>
    <row r="24" spans="1:18" x14ac:dyDescent="0.1">
      <c r="B24" t="s">
        <v>60</v>
      </c>
      <c r="E24" t="s">
        <v>366</v>
      </c>
      <c r="H24" t="s">
        <v>356</v>
      </c>
      <c r="K24" t="s">
        <v>162</v>
      </c>
      <c r="N24" t="s">
        <v>83</v>
      </c>
      <c r="Q24" t="s">
        <v>80</v>
      </c>
    </row>
    <row r="25" spans="1:18" x14ac:dyDescent="0.1">
      <c r="A25" t="s">
        <v>49</v>
      </c>
      <c r="B25" t="s">
        <v>1106</v>
      </c>
      <c r="C25" s="6">
        <v>0.63888888888888884</v>
      </c>
      <c r="D25" t="s">
        <v>49</v>
      </c>
      <c r="E25" t="s">
        <v>1120</v>
      </c>
      <c r="F25" s="6">
        <v>0.63541666666666663</v>
      </c>
      <c r="G25" t="s">
        <v>49</v>
      </c>
      <c r="H25" t="s">
        <v>1136</v>
      </c>
      <c r="I25" s="6">
        <v>0.63888888888888884</v>
      </c>
      <c r="J25" t="s">
        <v>49</v>
      </c>
      <c r="K25" t="s">
        <v>1149</v>
      </c>
      <c r="L25" s="6">
        <v>0.63541666666666663</v>
      </c>
      <c r="M25" t="s">
        <v>49</v>
      </c>
      <c r="N25" t="s">
        <v>328</v>
      </c>
      <c r="O25" s="6">
        <v>0.63888888888888884</v>
      </c>
      <c r="P25" t="s">
        <v>49</v>
      </c>
      <c r="Q25" t="s">
        <v>345</v>
      </c>
      <c r="R25" s="6">
        <v>0.65277777777777779</v>
      </c>
    </row>
    <row r="26" spans="1:18" x14ac:dyDescent="0.1">
      <c r="B26" t="s">
        <v>254</v>
      </c>
      <c r="E26" t="s">
        <v>1121</v>
      </c>
      <c r="H26" t="s">
        <v>1137</v>
      </c>
      <c r="K26" t="s">
        <v>1150</v>
      </c>
      <c r="N26" t="s">
        <v>250</v>
      </c>
      <c r="Q26" t="s">
        <v>264</v>
      </c>
    </row>
    <row r="27" spans="1:18" x14ac:dyDescent="0.1">
      <c r="B27" t="s">
        <v>138</v>
      </c>
      <c r="E27" t="s">
        <v>264</v>
      </c>
      <c r="H27" t="s">
        <v>225</v>
      </c>
      <c r="K27" t="s">
        <v>264</v>
      </c>
      <c r="N27" t="s">
        <v>325</v>
      </c>
      <c r="Q27" t="s">
        <v>39</v>
      </c>
    </row>
    <row r="28" spans="1:18" x14ac:dyDescent="0.1">
      <c r="A28" t="s">
        <v>53</v>
      </c>
      <c r="B28" t="s">
        <v>247</v>
      </c>
      <c r="C28" s="6">
        <v>0.66666666666666663</v>
      </c>
      <c r="E28" t="s">
        <v>295</v>
      </c>
      <c r="H28" t="s">
        <v>75</v>
      </c>
      <c r="K28" t="s">
        <v>1151</v>
      </c>
      <c r="M28" t="s">
        <v>53</v>
      </c>
      <c r="N28" t="s">
        <v>329</v>
      </c>
      <c r="O28" s="6">
        <v>0.66666666666666663</v>
      </c>
      <c r="P28" t="s">
        <v>53</v>
      </c>
      <c r="Q28" t="s">
        <v>346</v>
      </c>
      <c r="R28" s="6">
        <v>0.6875</v>
      </c>
    </row>
    <row r="29" spans="1:18" x14ac:dyDescent="0.1">
      <c r="B29" t="s">
        <v>330</v>
      </c>
      <c r="D29" t="s">
        <v>53</v>
      </c>
      <c r="E29" t="s">
        <v>247</v>
      </c>
      <c r="F29" s="6">
        <v>0.66666666666666663</v>
      </c>
      <c r="G29" t="s">
        <v>53</v>
      </c>
      <c r="H29" t="s">
        <v>247</v>
      </c>
      <c r="I29" s="6">
        <v>0.66666666666666663</v>
      </c>
      <c r="J29" t="s">
        <v>53</v>
      </c>
      <c r="K29" t="s">
        <v>247</v>
      </c>
      <c r="L29" s="6">
        <v>0.66666666666666663</v>
      </c>
      <c r="N29" t="s">
        <v>254</v>
      </c>
      <c r="Q29" t="s">
        <v>254</v>
      </c>
    </row>
    <row r="30" spans="1:18" x14ac:dyDescent="0.1">
      <c r="E30" t="s">
        <v>39</v>
      </c>
      <c r="H30" t="s">
        <v>115</v>
      </c>
      <c r="K30" t="s">
        <v>85</v>
      </c>
      <c r="N30" t="s">
        <v>330</v>
      </c>
      <c r="Q30" t="s">
        <v>114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A1AA-CEB4-409F-8AE9-4582F344AF5C}">
  <sheetPr codeName="Sheet12"/>
  <dimension ref="A1:X31"/>
  <sheetViews>
    <sheetView workbookViewId="0"/>
  </sheetViews>
  <sheetFormatPr defaultRowHeight="13.5" x14ac:dyDescent="0.1"/>
  <cols>
    <col min="1" max="1" width="11.1796875" bestFit="1" customWidth="1"/>
    <col min="2" max="2" width="23.7265625" bestFit="1" customWidth="1"/>
    <col min="3" max="3" width="9.26953125" bestFit="1" customWidth="1"/>
    <col min="4" max="4" width="11.1796875" bestFit="1" customWidth="1"/>
    <col min="5" max="5" width="28.36328125" bestFit="1" customWidth="1"/>
    <col min="6" max="6" width="9.26953125" customWidth="1"/>
    <col min="7" max="7" width="11.1796875" bestFit="1" customWidth="1"/>
    <col min="8" max="8" width="40.2265625" bestFit="1" customWidth="1"/>
    <col min="9" max="9" width="9.26953125" customWidth="1"/>
    <col min="10" max="10" width="11.1796875" bestFit="1" customWidth="1"/>
    <col min="11" max="11" width="18.54296875" bestFit="1" customWidth="1"/>
    <col min="12" max="12" width="9.26953125" customWidth="1"/>
    <col min="13" max="13" width="11.1796875" bestFit="1" customWidth="1"/>
    <col min="14" max="14" width="36.6796875" bestFit="1" customWidth="1"/>
    <col min="15" max="15" width="9.26953125" bestFit="1" customWidth="1"/>
    <col min="16" max="16" width="11.1796875" bestFit="1" customWidth="1"/>
    <col min="17" max="17" width="18.81640625" bestFit="1" customWidth="1"/>
    <col min="18" max="18" width="9.26953125" bestFit="1" customWidth="1"/>
    <col min="19" max="19" width="11.1796875" bestFit="1" customWidth="1"/>
    <col min="20" max="20" width="26.7265625" bestFit="1" customWidth="1"/>
    <col min="21" max="21" width="9.26953125" bestFit="1" customWidth="1"/>
    <col min="22" max="22" width="11.1796875" bestFit="1" customWidth="1"/>
    <col min="23" max="23" width="20.99609375" bestFit="1" customWidth="1"/>
    <col min="24" max="24" width="9.26953125" bestFit="1" customWidth="1"/>
  </cols>
  <sheetData>
    <row r="1" spans="1:24" x14ac:dyDescent="0.1">
      <c r="A1" t="s">
        <v>309</v>
      </c>
      <c r="D1" t="s">
        <v>331</v>
      </c>
      <c r="G1" t="s">
        <v>348</v>
      </c>
      <c r="J1" t="s">
        <v>358</v>
      </c>
      <c r="M1" t="s">
        <v>243</v>
      </c>
      <c r="N1" s="1"/>
      <c r="P1" t="s">
        <v>256</v>
      </c>
      <c r="Q1" s="1"/>
      <c r="S1" t="s">
        <v>370</v>
      </c>
      <c r="V1" t="s">
        <v>387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25</v>
      </c>
      <c r="C3" s="6">
        <v>0.4201388888888889</v>
      </c>
      <c r="D3" s="6" t="s">
        <v>24</v>
      </c>
      <c r="E3" s="6" t="s">
        <v>25</v>
      </c>
      <c r="F3" s="6">
        <v>0.41319444444444442</v>
      </c>
      <c r="G3" s="6" t="s">
        <v>24</v>
      </c>
      <c r="H3" s="6" t="s">
        <v>25</v>
      </c>
      <c r="I3" s="6">
        <v>0.4201388888888889</v>
      </c>
      <c r="J3" s="6" t="s">
        <v>24</v>
      </c>
      <c r="K3" s="6" t="s">
        <v>25</v>
      </c>
      <c r="L3" s="6">
        <v>0.40972222222222221</v>
      </c>
      <c r="M3" t="s">
        <v>24</v>
      </c>
      <c r="N3" t="s">
        <v>25</v>
      </c>
      <c r="O3" s="6">
        <v>0.4201388888888889</v>
      </c>
      <c r="P3" t="s">
        <v>24</v>
      </c>
      <c r="Q3" t="s">
        <v>25</v>
      </c>
      <c r="R3" s="6">
        <v>0.40972222222222221</v>
      </c>
      <c r="S3" t="s">
        <v>24</v>
      </c>
      <c r="T3" t="s">
        <v>25</v>
      </c>
      <c r="U3" s="6">
        <v>0.4201388888888889</v>
      </c>
      <c r="V3" t="s">
        <v>24</v>
      </c>
      <c r="W3" t="s">
        <v>25</v>
      </c>
      <c r="X3" s="6">
        <v>0.41666666666666669</v>
      </c>
    </row>
    <row r="4" spans="1:24" x14ac:dyDescent="0.1">
      <c r="B4" t="s">
        <v>222</v>
      </c>
      <c r="E4" t="s">
        <v>84</v>
      </c>
      <c r="H4" t="s">
        <v>222</v>
      </c>
      <c r="K4" t="s">
        <v>84</v>
      </c>
      <c r="N4" t="s">
        <v>84</v>
      </c>
      <c r="Q4" t="s">
        <v>122</v>
      </c>
      <c r="T4" t="s">
        <v>222</v>
      </c>
      <c r="W4" t="s">
        <v>84</v>
      </c>
    </row>
    <row r="5" spans="1:24" x14ac:dyDescent="0.1">
      <c r="A5" t="s">
        <v>27</v>
      </c>
      <c r="B5" t="s">
        <v>25</v>
      </c>
      <c r="C5" s="6">
        <v>0.44097222222222221</v>
      </c>
      <c r="D5" s="6" t="s">
        <v>27</v>
      </c>
      <c r="E5" s="6" t="s">
        <v>25</v>
      </c>
      <c r="F5" s="6">
        <v>0.43402777777777779</v>
      </c>
      <c r="G5" s="6" t="s">
        <v>27</v>
      </c>
      <c r="H5" s="6" t="s">
        <v>25</v>
      </c>
      <c r="I5" s="6">
        <v>0.44097222222222221</v>
      </c>
      <c r="J5" s="6" t="s">
        <v>27</v>
      </c>
      <c r="K5" s="6" t="s">
        <v>25</v>
      </c>
      <c r="L5" s="6">
        <v>0.43055555555555558</v>
      </c>
      <c r="M5" t="s">
        <v>27</v>
      </c>
      <c r="N5" t="s">
        <v>25</v>
      </c>
      <c r="O5" s="6">
        <v>0.44097222222222221</v>
      </c>
      <c r="P5" t="s">
        <v>27</v>
      </c>
      <c r="Q5" t="s">
        <v>25</v>
      </c>
      <c r="R5" s="6">
        <v>0.43055555555555558</v>
      </c>
      <c r="S5" t="s">
        <v>27</v>
      </c>
      <c r="T5" t="s">
        <v>25</v>
      </c>
      <c r="U5" s="6">
        <v>0.44097222222222221</v>
      </c>
      <c r="V5" t="s">
        <v>27</v>
      </c>
      <c r="W5" t="s">
        <v>25</v>
      </c>
      <c r="X5" s="6">
        <v>0.4375</v>
      </c>
    </row>
    <row r="6" spans="1:24" x14ac:dyDescent="0.1">
      <c r="B6" t="s">
        <v>89</v>
      </c>
      <c r="E6" t="s">
        <v>122</v>
      </c>
      <c r="H6" t="s">
        <v>89</v>
      </c>
      <c r="K6" t="s">
        <v>122</v>
      </c>
      <c r="N6" t="s">
        <v>122</v>
      </c>
      <c r="Q6" t="s">
        <v>89</v>
      </c>
      <c r="T6" t="s">
        <v>89</v>
      </c>
      <c r="W6" t="s">
        <v>122</v>
      </c>
    </row>
    <row r="7" spans="1:24" x14ac:dyDescent="0.1">
      <c r="A7" t="s">
        <v>30</v>
      </c>
      <c r="B7" t="s">
        <v>25</v>
      </c>
      <c r="C7" s="6">
        <v>0.46180555555555558</v>
      </c>
      <c r="D7" s="6" t="s">
        <v>30</v>
      </c>
      <c r="E7" s="6" t="s">
        <v>25</v>
      </c>
      <c r="F7" s="6">
        <v>0.4548611111111111</v>
      </c>
      <c r="G7" s="6" t="s">
        <v>30</v>
      </c>
      <c r="H7" s="6" t="s">
        <v>25</v>
      </c>
      <c r="I7" s="6">
        <v>0.46180555555555558</v>
      </c>
      <c r="J7" s="6" t="s">
        <v>30</v>
      </c>
      <c r="K7" s="6" t="s">
        <v>25</v>
      </c>
      <c r="L7" s="6">
        <v>0.4513888888888889</v>
      </c>
      <c r="M7" t="s">
        <v>30</v>
      </c>
      <c r="N7" t="s">
        <v>25</v>
      </c>
      <c r="O7" s="6">
        <v>0.46180555555555558</v>
      </c>
      <c r="P7" t="s">
        <v>30</v>
      </c>
      <c r="Q7" t="s">
        <v>25</v>
      </c>
      <c r="R7" s="6">
        <v>0.4513888888888889</v>
      </c>
      <c r="S7" t="s">
        <v>30</v>
      </c>
      <c r="T7" t="s">
        <v>25</v>
      </c>
      <c r="U7" s="6">
        <v>0.46180555555555558</v>
      </c>
      <c r="V7" t="s">
        <v>30</v>
      </c>
      <c r="W7" t="s">
        <v>25</v>
      </c>
      <c r="X7" s="6">
        <v>0.45833333333333331</v>
      </c>
    </row>
    <row r="8" spans="1:24" x14ac:dyDescent="0.1">
      <c r="B8" t="s">
        <v>122</v>
      </c>
      <c r="E8" t="s">
        <v>89</v>
      </c>
      <c r="H8" t="s">
        <v>122</v>
      </c>
      <c r="K8" t="s">
        <v>89</v>
      </c>
      <c r="N8" t="s">
        <v>89</v>
      </c>
      <c r="Q8" t="s">
        <v>122</v>
      </c>
      <c r="T8" t="s">
        <v>122</v>
      </c>
      <c r="W8" t="s">
        <v>89</v>
      </c>
    </row>
    <row r="9" spans="1:24" x14ac:dyDescent="0.1">
      <c r="A9" t="s">
        <v>32</v>
      </c>
      <c r="B9" t="s">
        <v>25</v>
      </c>
      <c r="C9" s="6">
        <v>0.4826388888888889</v>
      </c>
      <c r="D9" s="6" t="s">
        <v>32</v>
      </c>
      <c r="E9" s="6" t="s">
        <v>25</v>
      </c>
      <c r="F9" s="6">
        <v>0.47569444444444442</v>
      </c>
      <c r="G9" s="6" t="s">
        <v>32</v>
      </c>
      <c r="H9" s="6" t="s">
        <v>257</v>
      </c>
      <c r="I9" s="6">
        <v>0.4826388888888889</v>
      </c>
      <c r="J9" s="6" t="s">
        <v>32</v>
      </c>
      <c r="K9" s="6" t="s">
        <v>257</v>
      </c>
      <c r="L9" s="6">
        <v>0.47222222222222221</v>
      </c>
      <c r="M9" t="s">
        <v>32</v>
      </c>
      <c r="N9" t="s">
        <v>244</v>
      </c>
      <c r="O9" s="6">
        <v>0.4826388888888889</v>
      </c>
      <c r="P9" t="s">
        <v>32</v>
      </c>
      <c r="Q9" t="s">
        <v>257</v>
      </c>
      <c r="R9" s="6">
        <v>0.47222222222222221</v>
      </c>
      <c r="S9" t="s">
        <v>32</v>
      </c>
      <c r="T9" t="s">
        <v>25</v>
      </c>
      <c r="U9" s="6">
        <v>0.4826388888888889</v>
      </c>
      <c r="V9" t="s">
        <v>32</v>
      </c>
      <c r="W9" t="s">
        <v>25</v>
      </c>
      <c r="X9" s="6">
        <v>0.47916666666666669</v>
      </c>
    </row>
    <row r="10" spans="1:24" x14ac:dyDescent="0.1">
      <c r="B10" t="s">
        <v>89</v>
      </c>
      <c r="E10" t="s">
        <v>65</v>
      </c>
      <c r="H10" t="s">
        <v>258</v>
      </c>
      <c r="K10" t="s">
        <v>258</v>
      </c>
      <c r="N10" t="s">
        <v>245</v>
      </c>
      <c r="Q10" t="s">
        <v>258</v>
      </c>
      <c r="T10" t="s">
        <v>89</v>
      </c>
      <c r="W10" t="s">
        <v>29</v>
      </c>
    </row>
    <row r="11" spans="1:24" x14ac:dyDescent="0.1">
      <c r="A11" t="s">
        <v>34</v>
      </c>
      <c r="B11" t="s">
        <v>25</v>
      </c>
      <c r="C11" s="6">
        <v>0.51736111111111116</v>
      </c>
      <c r="D11" s="6" t="s">
        <v>34</v>
      </c>
      <c r="E11" s="6" t="s">
        <v>25</v>
      </c>
      <c r="F11" s="6">
        <v>0.51041666666666663</v>
      </c>
      <c r="G11" s="6" t="s">
        <v>34</v>
      </c>
      <c r="H11" s="6" t="s">
        <v>25</v>
      </c>
      <c r="I11" s="6">
        <v>0.51736111111111116</v>
      </c>
      <c r="J11" s="6" t="s">
        <v>34</v>
      </c>
      <c r="K11" s="6" t="s">
        <v>25</v>
      </c>
      <c r="L11" s="6">
        <v>0.50694444444444442</v>
      </c>
      <c r="M11" t="s">
        <v>34</v>
      </c>
      <c r="N11" t="s">
        <v>25</v>
      </c>
      <c r="O11" s="6">
        <v>0.51736111111111116</v>
      </c>
      <c r="P11" t="s">
        <v>34</v>
      </c>
      <c r="Q11" t="s">
        <v>25</v>
      </c>
      <c r="R11" s="6">
        <v>0.50694444444444442</v>
      </c>
      <c r="S11" t="s">
        <v>34</v>
      </c>
      <c r="T11" t="s">
        <v>25</v>
      </c>
      <c r="U11" s="6">
        <v>0.51736111111111116</v>
      </c>
      <c r="V11" t="s">
        <v>34</v>
      </c>
      <c r="W11" t="s">
        <v>246</v>
      </c>
      <c r="X11" s="6">
        <v>0.51388888888888884</v>
      </c>
    </row>
    <row r="12" spans="1:24" x14ac:dyDescent="0.1">
      <c r="B12" t="s">
        <v>117</v>
      </c>
      <c r="E12" t="s">
        <v>259</v>
      </c>
      <c r="H12" t="s">
        <v>117</v>
      </c>
      <c r="K12" t="s">
        <v>29</v>
      </c>
      <c r="N12" t="s">
        <v>117</v>
      </c>
      <c r="Q12" t="s">
        <v>259</v>
      </c>
      <c r="T12" t="s">
        <v>117</v>
      </c>
      <c r="W12" t="s">
        <v>117</v>
      </c>
    </row>
    <row r="13" spans="1:24" x14ac:dyDescent="0.1">
      <c r="A13" t="s">
        <v>35</v>
      </c>
      <c r="B13" t="s">
        <v>246</v>
      </c>
      <c r="C13" s="6">
        <v>0.53819444444444442</v>
      </c>
      <c r="D13" s="6" t="s">
        <v>35</v>
      </c>
      <c r="E13" s="6" t="s">
        <v>246</v>
      </c>
      <c r="F13" s="6">
        <v>0.53125</v>
      </c>
      <c r="G13" s="6" t="s">
        <v>35</v>
      </c>
      <c r="H13" s="6" t="s">
        <v>25</v>
      </c>
      <c r="I13" s="6">
        <v>0.53819444444444442</v>
      </c>
      <c r="J13" s="6" t="s">
        <v>35</v>
      </c>
      <c r="K13" s="6" t="s">
        <v>246</v>
      </c>
      <c r="L13" s="6">
        <v>0.52777777777777779</v>
      </c>
      <c r="M13" t="s">
        <v>35</v>
      </c>
      <c r="N13" t="s">
        <v>25</v>
      </c>
      <c r="O13" s="6">
        <v>0.53819444444444442</v>
      </c>
      <c r="P13" t="s">
        <v>35</v>
      </c>
      <c r="Q13" t="s">
        <v>246</v>
      </c>
      <c r="R13" s="6">
        <v>0.52777777777777779</v>
      </c>
      <c r="S13" t="s">
        <v>35</v>
      </c>
      <c r="T13" t="s">
        <v>246</v>
      </c>
      <c r="U13" s="6">
        <v>0.53819444444444442</v>
      </c>
      <c r="V13" t="s">
        <v>35</v>
      </c>
      <c r="W13" t="s">
        <v>246</v>
      </c>
      <c r="X13" s="6">
        <v>0.53472222222222221</v>
      </c>
    </row>
    <row r="14" spans="1:24" x14ac:dyDescent="0.1">
      <c r="B14" t="s">
        <v>65</v>
      </c>
      <c r="E14" t="s">
        <v>122</v>
      </c>
      <c r="H14" t="s">
        <v>89</v>
      </c>
      <c r="K14" t="s">
        <v>89</v>
      </c>
      <c r="N14" t="s">
        <v>228</v>
      </c>
      <c r="Q14" t="s">
        <v>89</v>
      </c>
      <c r="T14" t="s">
        <v>275</v>
      </c>
      <c r="W14" t="s">
        <v>89</v>
      </c>
    </row>
    <row r="15" spans="1:24" x14ac:dyDescent="0.1">
      <c r="A15" t="s">
        <v>38</v>
      </c>
      <c r="B15" t="s">
        <v>247</v>
      </c>
      <c r="C15" s="6">
        <v>0.55902777777777779</v>
      </c>
      <c r="D15" s="6" t="s">
        <v>38</v>
      </c>
      <c r="E15" s="6" t="s">
        <v>247</v>
      </c>
      <c r="F15" s="6">
        <v>0.55208333333333337</v>
      </c>
      <c r="G15" s="6" t="s">
        <v>38</v>
      </c>
      <c r="H15" s="6" t="s">
        <v>247</v>
      </c>
      <c r="I15" s="6">
        <v>0.55902777777777779</v>
      </c>
      <c r="J15" s="6" t="s">
        <v>38</v>
      </c>
      <c r="K15" s="6" t="s">
        <v>246</v>
      </c>
      <c r="L15" s="6">
        <v>0.54861111111111116</v>
      </c>
      <c r="M15" t="s">
        <v>38</v>
      </c>
      <c r="N15" t="s">
        <v>246</v>
      </c>
      <c r="O15" s="6">
        <v>0.55902777777777779</v>
      </c>
      <c r="P15" t="s">
        <v>38</v>
      </c>
      <c r="Q15" t="s">
        <v>247</v>
      </c>
      <c r="R15" s="6">
        <v>0.54861111111111116</v>
      </c>
      <c r="S15" t="s">
        <v>38</v>
      </c>
      <c r="T15" t="s">
        <v>247</v>
      </c>
      <c r="U15" s="6">
        <v>0.55902777777777779</v>
      </c>
      <c r="V15" t="s">
        <v>38</v>
      </c>
      <c r="W15" t="s">
        <v>247</v>
      </c>
      <c r="X15" s="6">
        <v>0.55555555555555558</v>
      </c>
    </row>
    <row r="16" spans="1:24" x14ac:dyDescent="0.1">
      <c r="B16" t="s">
        <v>113</v>
      </c>
      <c r="E16" t="s">
        <v>78</v>
      </c>
      <c r="H16" t="s">
        <v>60</v>
      </c>
      <c r="K16" t="s">
        <v>359</v>
      </c>
      <c r="N16" t="s">
        <v>122</v>
      </c>
      <c r="Q16" t="s">
        <v>171</v>
      </c>
      <c r="T16" t="s">
        <v>60</v>
      </c>
      <c r="W16" t="s">
        <v>85</v>
      </c>
    </row>
    <row r="17" spans="1:24" x14ac:dyDescent="0.1">
      <c r="A17" t="s">
        <v>40</v>
      </c>
      <c r="B17" t="s">
        <v>254</v>
      </c>
      <c r="C17" s="6">
        <v>0.58333333333333337</v>
      </c>
      <c r="D17" s="6" t="s">
        <v>40</v>
      </c>
      <c r="E17" s="6" t="s">
        <v>247</v>
      </c>
      <c r="F17" s="6">
        <v>0.57291666666666663</v>
      </c>
      <c r="G17" s="6" t="s">
        <v>40</v>
      </c>
      <c r="H17" s="6" t="s">
        <v>247</v>
      </c>
      <c r="I17" s="6">
        <v>0.57986111111111116</v>
      </c>
      <c r="J17" s="6" t="s">
        <v>40</v>
      </c>
      <c r="K17" s="6" t="s">
        <v>247</v>
      </c>
      <c r="L17" s="6">
        <v>0.56944444444444442</v>
      </c>
      <c r="M17" t="s">
        <v>40</v>
      </c>
      <c r="N17" t="s">
        <v>247</v>
      </c>
      <c r="O17" s="6">
        <v>0.57986111111111116</v>
      </c>
      <c r="P17" t="s">
        <v>40</v>
      </c>
      <c r="Q17" t="s">
        <v>254</v>
      </c>
      <c r="R17" s="6">
        <v>0.56944444444444442</v>
      </c>
      <c r="S17" t="s">
        <v>40</v>
      </c>
      <c r="T17" t="s">
        <v>247</v>
      </c>
      <c r="U17" s="6">
        <v>0.57986111111111116</v>
      </c>
      <c r="V17" t="s">
        <v>40</v>
      </c>
      <c r="W17" t="s">
        <v>388</v>
      </c>
      <c r="X17" s="6">
        <v>0.57638888888888884</v>
      </c>
    </row>
    <row r="18" spans="1:24" x14ac:dyDescent="0.1">
      <c r="B18" t="s">
        <v>60</v>
      </c>
      <c r="E18" t="s">
        <v>85</v>
      </c>
      <c r="H18" t="s">
        <v>78</v>
      </c>
      <c r="K18" t="s">
        <v>85</v>
      </c>
      <c r="N18" t="s">
        <v>78</v>
      </c>
      <c r="Q18" t="s">
        <v>48</v>
      </c>
      <c r="T18" t="s">
        <v>125</v>
      </c>
      <c r="W18" t="s">
        <v>254</v>
      </c>
    </row>
    <row r="19" spans="1:24" x14ac:dyDescent="0.1">
      <c r="A19" t="s">
        <v>42</v>
      </c>
      <c r="B19" t="s">
        <v>310</v>
      </c>
      <c r="C19" s="6">
        <v>0.60763888888888884</v>
      </c>
      <c r="D19" s="6" t="s">
        <v>42</v>
      </c>
      <c r="E19" s="6" t="s">
        <v>332</v>
      </c>
      <c r="F19" s="6">
        <v>0.59375</v>
      </c>
      <c r="G19" s="6" t="s">
        <v>42</v>
      </c>
      <c r="H19" s="6" t="s">
        <v>349</v>
      </c>
      <c r="I19" s="6">
        <v>0.60416666666666663</v>
      </c>
      <c r="J19" s="6" t="s">
        <v>42</v>
      </c>
      <c r="K19" s="6" t="s">
        <v>360</v>
      </c>
      <c r="L19" s="6">
        <v>0.59375</v>
      </c>
      <c r="M19" t="s">
        <v>42</v>
      </c>
      <c r="N19" t="s">
        <v>248</v>
      </c>
      <c r="O19" s="6">
        <v>0.60069444444444442</v>
      </c>
      <c r="P19" t="s">
        <v>42</v>
      </c>
      <c r="Q19" t="s">
        <v>260</v>
      </c>
      <c r="R19" s="6">
        <v>0.59375</v>
      </c>
      <c r="S19" t="s">
        <v>42</v>
      </c>
      <c r="T19" t="s">
        <v>371</v>
      </c>
      <c r="U19" s="6">
        <v>0.60069444444444442</v>
      </c>
      <c r="W19" t="s">
        <v>78</v>
      </c>
    </row>
    <row r="20" spans="1:24" x14ac:dyDescent="0.1">
      <c r="B20" t="s">
        <v>250</v>
      </c>
      <c r="E20" t="s">
        <v>246</v>
      </c>
      <c r="H20" t="s">
        <v>246</v>
      </c>
      <c r="K20" t="s">
        <v>254</v>
      </c>
      <c r="N20" t="s">
        <v>246</v>
      </c>
      <c r="Q20" t="s">
        <v>254</v>
      </c>
      <c r="T20" t="s">
        <v>254</v>
      </c>
      <c r="V20" t="s">
        <v>42</v>
      </c>
      <c r="W20" t="s">
        <v>389</v>
      </c>
      <c r="X20" s="6">
        <v>0.60069444444444442</v>
      </c>
    </row>
    <row r="21" spans="1:24" x14ac:dyDescent="0.1">
      <c r="B21" t="s">
        <v>85</v>
      </c>
      <c r="E21" t="s">
        <v>228</v>
      </c>
      <c r="H21" t="s">
        <v>259</v>
      </c>
      <c r="K21" t="s">
        <v>361</v>
      </c>
      <c r="N21" t="s">
        <v>29</v>
      </c>
      <c r="Q21" t="s">
        <v>261</v>
      </c>
      <c r="T21" t="s">
        <v>334</v>
      </c>
      <c r="W21" t="s">
        <v>254</v>
      </c>
    </row>
    <row r="22" spans="1:24" x14ac:dyDescent="0.1">
      <c r="A22" t="s">
        <v>46</v>
      </c>
      <c r="B22" t="s">
        <v>311</v>
      </c>
      <c r="C22" s="6">
        <v>0.63194444444444442</v>
      </c>
      <c r="D22" s="6" t="s">
        <v>46</v>
      </c>
      <c r="E22" s="6" t="s">
        <v>333</v>
      </c>
      <c r="F22" s="6">
        <v>0.61805555555555558</v>
      </c>
      <c r="G22" s="6" t="s">
        <v>46</v>
      </c>
      <c r="H22" s="6" t="s">
        <v>350</v>
      </c>
      <c r="I22" s="6">
        <v>0.62847222222222221</v>
      </c>
      <c r="J22" s="6" t="s">
        <v>46</v>
      </c>
      <c r="K22" s="6" t="s">
        <v>362</v>
      </c>
      <c r="L22" s="6">
        <v>0.61805555555555558</v>
      </c>
      <c r="M22" t="s">
        <v>46</v>
      </c>
      <c r="N22" t="s">
        <v>249</v>
      </c>
      <c r="O22" s="6">
        <v>0.625</v>
      </c>
      <c r="P22" t="s">
        <v>46</v>
      </c>
      <c r="Q22" t="s">
        <v>262</v>
      </c>
      <c r="R22" s="6">
        <v>0.61805555555555558</v>
      </c>
      <c r="S22" t="s">
        <v>46</v>
      </c>
      <c r="T22" t="s">
        <v>372</v>
      </c>
      <c r="U22" s="6">
        <v>0.625</v>
      </c>
      <c r="W22" t="s">
        <v>135</v>
      </c>
    </row>
    <row r="23" spans="1:24" x14ac:dyDescent="0.1">
      <c r="B23" t="s">
        <v>225</v>
      </c>
      <c r="E23" t="s">
        <v>250</v>
      </c>
      <c r="H23" t="s">
        <v>254</v>
      </c>
      <c r="K23" t="s">
        <v>250</v>
      </c>
      <c r="N23" t="s">
        <v>250</v>
      </c>
      <c r="Q23" t="s">
        <v>250</v>
      </c>
      <c r="T23" t="s">
        <v>250</v>
      </c>
      <c r="V23" t="s">
        <v>46</v>
      </c>
      <c r="W23" t="s">
        <v>390</v>
      </c>
      <c r="X23" s="6">
        <v>0.625</v>
      </c>
    </row>
    <row r="24" spans="1:24" x14ac:dyDescent="0.1">
      <c r="B24" t="s">
        <v>312</v>
      </c>
      <c r="E24" t="s">
        <v>334</v>
      </c>
      <c r="H24" t="s">
        <v>78</v>
      </c>
      <c r="K24" t="s">
        <v>138</v>
      </c>
      <c r="N24" t="s">
        <v>85</v>
      </c>
      <c r="Q24" t="s">
        <v>171</v>
      </c>
      <c r="T24" t="s">
        <v>78</v>
      </c>
      <c r="W24" t="s">
        <v>264</v>
      </c>
    </row>
    <row r="25" spans="1:24" x14ac:dyDescent="0.1">
      <c r="A25" t="s">
        <v>49</v>
      </c>
      <c r="B25" t="s">
        <v>313</v>
      </c>
      <c r="C25" s="6">
        <v>0.65625</v>
      </c>
      <c r="D25" s="6" t="s">
        <v>49</v>
      </c>
      <c r="E25" s="6" t="s">
        <v>335</v>
      </c>
      <c r="F25" s="6">
        <v>0.64236111111111116</v>
      </c>
      <c r="G25" s="6" t="s">
        <v>49</v>
      </c>
      <c r="H25" s="6" t="s">
        <v>351</v>
      </c>
      <c r="I25" s="6">
        <v>0.65625</v>
      </c>
      <c r="J25" s="6" t="s">
        <v>49</v>
      </c>
      <c r="K25" s="6" t="s">
        <v>363</v>
      </c>
      <c r="L25" s="6">
        <v>0.64236111111111116</v>
      </c>
      <c r="M25" t="s">
        <v>49</v>
      </c>
      <c r="N25" t="s">
        <v>251</v>
      </c>
      <c r="O25" s="6">
        <v>0.65625</v>
      </c>
      <c r="P25" t="s">
        <v>49</v>
      </c>
      <c r="Q25" t="s">
        <v>263</v>
      </c>
      <c r="R25" s="6">
        <v>0.64236111111111116</v>
      </c>
      <c r="S25" s="42" t="s">
        <v>49</v>
      </c>
      <c r="T25" s="42" t="s">
        <v>373</v>
      </c>
      <c r="U25" s="43">
        <v>0.65277777777777779</v>
      </c>
      <c r="W25" t="s">
        <v>391</v>
      </c>
    </row>
    <row r="26" spans="1:24" x14ac:dyDescent="0.1">
      <c r="B26" t="s">
        <v>264</v>
      </c>
      <c r="E26" t="s">
        <v>264</v>
      </c>
      <c r="H26" t="s">
        <v>264</v>
      </c>
      <c r="K26" t="s">
        <v>250</v>
      </c>
      <c r="N26" t="s">
        <v>252</v>
      </c>
      <c r="Q26" t="s">
        <v>264</v>
      </c>
      <c r="S26" s="42"/>
      <c r="T26" s="42" t="s">
        <v>374</v>
      </c>
      <c r="U26" s="42"/>
      <c r="V26" t="s">
        <v>49</v>
      </c>
      <c r="W26" t="s">
        <v>392</v>
      </c>
      <c r="X26" s="6">
        <v>0.65277777777777779</v>
      </c>
    </row>
    <row r="27" spans="1:24" x14ac:dyDescent="0.1">
      <c r="B27" t="s">
        <v>314</v>
      </c>
      <c r="E27" t="s">
        <v>138</v>
      </c>
      <c r="H27" t="s">
        <v>167</v>
      </c>
      <c r="K27" t="s">
        <v>60</v>
      </c>
      <c r="N27" t="s">
        <v>225</v>
      </c>
      <c r="Q27" t="s">
        <v>265</v>
      </c>
      <c r="S27" s="42"/>
      <c r="T27" s="42" t="s">
        <v>244</v>
      </c>
      <c r="U27" s="42"/>
      <c r="W27" t="s">
        <v>225</v>
      </c>
    </row>
    <row r="28" spans="1:24" x14ac:dyDescent="0.1">
      <c r="A28" t="s">
        <v>53</v>
      </c>
      <c r="B28" t="s">
        <v>254</v>
      </c>
      <c r="C28" s="6">
        <v>0.6875</v>
      </c>
      <c r="D28" s="6" t="s">
        <v>53</v>
      </c>
      <c r="E28" s="6" t="s">
        <v>254</v>
      </c>
      <c r="F28" s="6">
        <v>0.67361111111111116</v>
      </c>
      <c r="G28" s="6" t="s">
        <v>53</v>
      </c>
      <c r="H28" s="6" t="s">
        <v>254</v>
      </c>
      <c r="I28" s="6">
        <v>0.6875</v>
      </c>
      <c r="J28" s="6" t="s">
        <v>53</v>
      </c>
      <c r="K28" s="6" t="s">
        <v>254</v>
      </c>
      <c r="L28" s="6">
        <v>0.67361111111111116</v>
      </c>
      <c r="N28" t="s">
        <v>253</v>
      </c>
      <c r="P28" t="s">
        <v>53</v>
      </c>
      <c r="Q28" t="s">
        <v>247</v>
      </c>
      <c r="R28" s="6">
        <v>0.67361111111111116</v>
      </c>
      <c r="S28" s="42"/>
      <c r="T28" s="42" t="s">
        <v>375</v>
      </c>
      <c r="U28" s="42"/>
      <c r="W28" t="s">
        <v>393</v>
      </c>
    </row>
    <row r="29" spans="1:24" x14ac:dyDescent="0.1">
      <c r="B29" t="s">
        <v>78</v>
      </c>
      <c r="E29" t="s">
        <v>334</v>
      </c>
      <c r="H29" t="s">
        <v>85</v>
      </c>
      <c r="K29" t="s">
        <v>171</v>
      </c>
      <c r="M29" t="s">
        <v>53</v>
      </c>
      <c r="N29" t="s">
        <v>254</v>
      </c>
      <c r="O29" s="6">
        <v>0.6875</v>
      </c>
      <c r="Q29" t="s">
        <v>255</v>
      </c>
      <c r="S29" t="s">
        <v>53</v>
      </c>
      <c r="T29" t="s">
        <v>376</v>
      </c>
      <c r="U29" s="6">
        <v>0.6875</v>
      </c>
      <c r="V29" t="s">
        <v>53</v>
      </c>
      <c r="W29" t="s">
        <v>394</v>
      </c>
      <c r="X29" s="6">
        <v>0.6875</v>
      </c>
    </row>
    <row r="30" spans="1:24" x14ac:dyDescent="0.1">
      <c r="N30" t="s">
        <v>255</v>
      </c>
      <c r="T30" t="s">
        <v>254</v>
      </c>
      <c r="W30" t="s">
        <v>250</v>
      </c>
    </row>
    <row r="31" spans="1:24" x14ac:dyDescent="0.1">
      <c r="T31" t="s">
        <v>85</v>
      </c>
      <c r="W31" t="s">
        <v>395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5FE0-53B5-4203-B797-9A61DD729779}">
  <sheetPr codeName="Sheet13"/>
  <dimension ref="A1:X31"/>
  <sheetViews>
    <sheetView workbookViewId="0"/>
  </sheetViews>
  <sheetFormatPr defaultRowHeight="13.5" x14ac:dyDescent="0.1"/>
  <cols>
    <col min="1" max="1" width="11.1796875" bestFit="1" customWidth="1"/>
    <col min="2" max="2" width="37.90625" bestFit="1" customWidth="1"/>
    <col min="3" max="3" width="9.26953125" bestFit="1" customWidth="1"/>
    <col min="4" max="4" width="11.1796875" bestFit="1" customWidth="1"/>
    <col min="5" max="5" width="18.54296875" bestFit="1" customWidth="1"/>
    <col min="6" max="6" width="9.26953125" bestFit="1" customWidth="1"/>
    <col min="7" max="7" width="11.1796875" bestFit="1" customWidth="1"/>
    <col min="8" max="8" width="35.58984375" bestFit="1" customWidth="1"/>
    <col min="9" max="9" width="9.26953125" bestFit="1" customWidth="1"/>
    <col min="10" max="10" width="11.1796875" bestFit="1" customWidth="1"/>
    <col min="11" max="11" width="20.58984375" bestFit="1" customWidth="1"/>
    <col min="12" max="12" width="9.26953125" bestFit="1" customWidth="1"/>
    <col min="13" max="13" width="11.1796875" bestFit="1" customWidth="1"/>
    <col min="14" max="14" width="25.49609375" bestFit="1" customWidth="1"/>
    <col min="15" max="15" width="9.26953125" bestFit="1" customWidth="1"/>
    <col min="16" max="16" width="11.1796875" bestFit="1" customWidth="1"/>
    <col min="17" max="17" width="20.04296875" bestFit="1" customWidth="1"/>
    <col min="18" max="18" width="9.26953125" bestFit="1" customWidth="1"/>
    <col min="19" max="19" width="11.1796875" bestFit="1" customWidth="1"/>
    <col min="20" max="20" width="31.36328125" bestFit="1" customWidth="1"/>
    <col min="21" max="21" width="9.26953125" bestFit="1" customWidth="1"/>
    <col min="22" max="22" width="11.1796875" bestFit="1" customWidth="1"/>
    <col min="23" max="23" width="18.54296875" bestFit="1" customWidth="1"/>
    <col min="24" max="24" width="9.26953125" bestFit="1" customWidth="1"/>
  </cols>
  <sheetData>
    <row r="1" spans="1:24" x14ac:dyDescent="0.1">
      <c r="A1" t="s">
        <v>315</v>
      </c>
      <c r="D1" t="s">
        <v>336</v>
      </c>
      <c r="G1" t="s">
        <v>352</v>
      </c>
      <c r="J1" t="s">
        <v>364</v>
      </c>
      <c r="M1" t="s">
        <v>266</v>
      </c>
      <c r="N1" s="1"/>
      <c r="P1" t="s">
        <v>283</v>
      </c>
      <c r="Q1" s="1"/>
      <c r="S1" t="s">
        <v>377</v>
      </c>
      <c r="V1" t="s">
        <v>396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25</v>
      </c>
      <c r="C3" s="6">
        <v>0.40972222222222221</v>
      </c>
      <c r="D3" t="s">
        <v>24</v>
      </c>
      <c r="E3" t="s">
        <v>25</v>
      </c>
      <c r="F3" s="6">
        <v>0.40625</v>
      </c>
      <c r="G3" t="s">
        <v>24</v>
      </c>
      <c r="H3" t="s">
        <v>25</v>
      </c>
      <c r="I3" s="6">
        <v>0.40972222222222221</v>
      </c>
      <c r="J3" t="s">
        <v>24</v>
      </c>
      <c r="K3" t="s">
        <v>25</v>
      </c>
      <c r="L3" s="6">
        <v>0.4201388888888889</v>
      </c>
      <c r="M3" t="s">
        <v>24</v>
      </c>
      <c r="N3" t="s">
        <v>25</v>
      </c>
      <c r="O3" s="6">
        <v>0.41319444444444442</v>
      </c>
      <c r="P3" t="s">
        <v>24</v>
      </c>
      <c r="Q3" t="s">
        <v>25</v>
      </c>
      <c r="R3" s="6">
        <v>0.41666666666666669</v>
      </c>
      <c r="S3" t="s">
        <v>24</v>
      </c>
      <c r="T3" t="s">
        <v>25</v>
      </c>
      <c r="U3" s="6">
        <v>0.41319444444444442</v>
      </c>
      <c r="V3" t="s">
        <v>24</v>
      </c>
      <c r="W3" t="s">
        <v>25</v>
      </c>
      <c r="X3" s="6">
        <v>0.40972222222222221</v>
      </c>
    </row>
    <row r="4" spans="1:24" x14ac:dyDescent="0.1">
      <c r="B4" t="s">
        <v>222</v>
      </c>
      <c r="E4" t="s">
        <v>84</v>
      </c>
      <c r="H4" t="s">
        <v>84</v>
      </c>
      <c r="K4" t="s">
        <v>158</v>
      </c>
      <c r="N4" t="s">
        <v>84</v>
      </c>
      <c r="Q4" t="s">
        <v>158</v>
      </c>
      <c r="T4" t="s">
        <v>84</v>
      </c>
      <c r="W4" t="s">
        <v>89</v>
      </c>
    </row>
    <row r="5" spans="1:24" x14ac:dyDescent="0.1">
      <c r="A5" t="s">
        <v>27</v>
      </c>
      <c r="B5" t="s">
        <v>25</v>
      </c>
      <c r="C5" s="6">
        <v>0.43055555555555558</v>
      </c>
      <c r="D5" t="s">
        <v>27</v>
      </c>
      <c r="E5" t="s">
        <v>25</v>
      </c>
      <c r="F5" s="6">
        <v>0.42708333333333331</v>
      </c>
      <c r="G5" t="s">
        <v>27</v>
      </c>
      <c r="H5" t="s">
        <v>25</v>
      </c>
      <c r="I5" s="6">
        <v>0.43055555555555558</v>
      </c>
      <c r="J5" t="s">
        <v>27</v>
      </c>
      <c r="K5" t="s">
        <v>25</v>
      </c>
      <c r="L5" s="6">
        <v>0.44097222222222221</v>
      </c>
      <c r="M5" t="s">
        <v>27</v>
      </c>
      <c r="N5" t="s">
        <v>25</v>
      </c>
      <c r="O5" s="6">
        <v>0.43402777777777779</v>
      </c>
      <c r="P5" t="s">
        <v>27</v>
      </c>
      <c r="Q5" t="s">
        <v>25</v>
      </c>
      <c r="R5" s="6">
        <v>0.4375</v>
      </c>
      <c r="S5" t="s">
        <v>27</v>
      </c>
      <c r="T5" t="s">
        <v>25</v>
      </c>
      <c r="U5" s="6">
        <v>0.43402777777777779</v>
      </c>
      <c r="V5" t="s">
        <v>27</v>
      </c>
      <c r="W5" t="s">
        <v>25</v>
      </c>
      <c r="X5" s="6">
        <v>0.43055555555555558</v>
      </c>
    </row>
    <row r="6" spans="1:24" x14ac:dyDescent="0.1">
      <c r="B6" t="s">
        <v>89</v>
      </c>
      <c r="E6" t="s">
        <v>337</v>
      </c>
      <c r="H6" t="s">
        <v>77</v>
      </c>
      <c r="K6" t="s">
        <v>89</v>
      </c>
      <c r="N6" t="s">
        <v>77</v>
      </c>
      <c r="Q6" t="s">
        <v>89</v>
      </c>
      <c r="T6" t="s">
        <v>122</v>
      </c>
      <c r="W6" t="s">
        <v>228</v>
      </c>
    </row>
    <row r="7" spans="1:24" x14ac:dyDescent="0.1">
      <c r="A7" t="s">
        <v>30</v>
      </c>
      <c r="B7" t="s">
        <v>25</v>
      </c>
      <c r="C7" s="6">
        <v>0.4513888888888889</v>
      </c>
      <c r="D7" t="s">
        <v>30</v>
      </c>
      <c r="E7" t="s">
        <v>25</v>
      </c>
      <c r="F7" s="6">
        <v>0.44791666666666669</v>
      </c>
      <c r="G7" t="s">
        <v>30</v>
      </c>
      <c r="H7" t="s">
        <v>25</v>
      </c>
      <c r="I7" s="6">
        <v>0.4513888888888889</v>
      </c>
      <c r="J7" t="s">
        <v>30</v>
      </c>
      <c r="K7" t="s">
        <v>25</v>
      </c>
      <c r="L7" s="6">
        <v>0.46180555555555558</v>
      </c>
      <c r="M7" t="s">
        <v>30</v>
      </c>
      <c r="N7" t="s">
        <v>25</v>
      </c>
      <c r="O7" s="6">
        <v>0.4548611111111111</v>
      </c>
      <c r="P7" t="s">
        <v>30</v>
      </c>
      <c r="Q7" t="s">
        <v>25</v>
      </c>
      <c r="R7" s="6">
        <v>0.45833333333333331</v>
      </c>
      <c r="S7" t="s">
        <v>30</v>
      </c>
      <c r="T7" t="s">
        <v>25</v>
      </c>
      <c r="U7" s="6">
        <v>0.4548611111111111</v>
      </c>
      <c r="V7" t="s">
        <v>30</v>
      </c>
      <c r="W7" t="s">
        <v>25</v>
      </c>
      <c r="X7" s="6">
        <v>0.4513888888888889</v>
      </c>
    </row>
    <row r="8" spans="1:24" x14ac:dyDescent="0.1">
      <c r="B8" t="s">
        <v>122</v>
      </c>
      <c r="E8" t="s">
        <v>77</v>
      </c>
      <c r="H8" t="s">
        <v>89</v>
      </c>
      <c r="K8" t="s">
        <v>122</v>
      </c>
      <c r="N8" t="s">
        <v>89</v>
      </c>
      <c r="Q8" t="s">
        <v>122</v>
      </c>
      <c r="T8" t="s">
        <v>337</v>
      </c>
      <c r="W8" t="s">
        <v>77</v>
      </c>
    </row>
    <row r="9" spans="1:24" x14ac:dyDescent="0.1">
      <c r="A9" t="s">
        <v>32</v>
      </c>
      <c r="B9" t="s">
        <v>25</v>
      </c>
      <c r="C9" s="6">
        <v>0.47222222222222221</v>
      </c>
      <c r="D9" t="s">
        <v>32</v>
      </c>
      <c r="E9" t="s">
        <v>257</v>
      </c>
      <c r="F9" s="6">
        <v>0.46875</v>
      </c>
      <c r="G9" t="s">
        <v>32</v>
      </c>
      <c r="H9" t="s">
        <v>25</v>
      </c>
      <c r="I9" s="6">
        <v>0.47222222222222221</v>
      </c>
      <c r="J9" t="s">
        <v>32</v>
      </c>
      <c r="K9" t="s">
        <v>25</v>
      </c>
      <c r="L9" s="6">
        <v>0.4826388888888889</v>
      </c>
      <c r="M9" t="s">
        <v>32</v>
      </c>
      <c r="N9" t="s">
        <v>25</v>
      </c>
      <c r="O9" s="6">
        <v>0.47569444444444442</v>
      </c>
      <c r="P9" t="s">
        <v>32</v>
      </c>
      <c r="Q9" t="s">
        <v>25</v>
      </c>
      <c r="R9" s="6">
        <v>0.47916666666666669</v>
      </c>
      <c r="S9" t="s">
        <v>32</v>
      </c>
      <c r="T9" t="s">
        <v>25</v>
      </c>
      <c r="U9" s="6">
        <v>0.47569444444444442</v>
      </c>
      <c r="V9" t="s">
        <v>32</v>
      </c>
      <c r="W9" t="s">
        <v>257</v>
      </c>
      <c r="X9" s="6">
        <v>0.47222222222222221</v>
      </c>
    </row>
    <row r="10" spans="1:24" x14ac:dyDescent="0.1">
      <c r="B10" t="s">
        <v>89</v>
      </c>
      <c r="E10" t="s">
        <v>338</v>
      </c>
      <c r="H10" t="s">
        <v>75</v>
      </c>
      <c r="K10" t="s">
        <v>354</v>
      </c>
      <c r="N10" t="s">
        <v>29</v>
      </c>
      <c r="Q10" t="s">
        <v>117</v>
      </c>
      <c r="T10" t="s">
        <v>90</v>
      </c>
      <c r="W10" t="s">
        <v>338</v>
      </c>
    </row>
    <row r="11" spans="1:24" x14ac:dyDescent="0.1">
      <c r="A11" t="s">
        <v>34</v>
      </c>
      <c r="B11" t="s">
        <v>25</v>
      </c>
      <c r="C11" s="6">
        <v>0.50694444444444442</v>
      </c>
      <c r="D11" t="s">
        <v>34</v>
      </c>
      <c r="E11" t="s">
        <v>25</v>
      </c>
      <c r="F11" s="6">
        <v>0.50347222222222221</v>
      </c>
      <c r="G11" t="s">
        <v>34</v>
      </c>
      <c r="H11" t="s">
        <v>25</v>
      </c>
      <c r="I11" s="6">
        <v>0.50694444444444442</v>
      </c>
      <c r="J11" t="s">
        <v>34</v>
      </c>
      <c r="K11" t="s">
        <v>246</v>
      </c>
      <c r="L11" s="6">
        <v>0.51736111111111116</v>
      </c>
      <c r="M11" t="s">
        <v>34</v>
      </c>
      <c r="N11" t="s">
        <v>246</v>
      </c>
      <c r="O11" s="6">
        <v>0.51041666666666663</v>
      </c>
      <c r="P11" t="s">
        <v>34</v>
      </c>
      <c r="Q11" t="s">
        <v>246</v>
      </c>
      <c r="R11" s="6">
        <v>0.51388888888888884</v>
      </c>
      <c r="S11" t="s">
        <v>34</v>
      </c>
      <c r="T11" t="s">
        <v>246</v>
      </c>
      <c r="U11" s="6">
        <v>0.51041666666666663</v>
      </c>
      <c r="V11" t="s">
        <v>34</v>
      </c>
      <c r="W11" t="s">
        <v>25</v>
      </c>
      <c r="X11" s="6">
        <v>0.50694444444444442</v>
      </c>
    </row>
    <row r="12" spans="1:24" x14ac:dyDescent="0.1">
      <c r="B12" t="s">
        <v>117</v>
      </c>
      <c r="E12" t="s">
        <v>29</v>
      </c>
      <c r="H12" t="s">
        <v>90</v>
      </c>
      <c r="K12" t="s">
        <v>89</v>
      </c>
      <c r="N12" t="s">
        <v>89</v>
      </c>
      <c r="Q12" t="s">
        <v>77</v>
      </c>
      <c r="T12" t="s">
        <v>29</v>
      </c>
      <c r="W12" t="s">
        <v>108</v>
      </c>
    </row>
    <row r="13" spans="1:24" x14ac:dyDescent="0.1">
      <c r="A13" t="s">
        <v>35</v>
      </c>
      <c r="B13" t="s">
        <v>246</v>
      </c>
      <c r="C13" s="6">
        <v>0.52777777777777779</v>
      </c>
      <c r="D13" t="s">
        <v>35</v>
      </c>
      <c r="E13" t="s">
        <v>246</v>
      </c>
      <c r="F13" s="6">
        <v>0.52430555555555558</v>
      </c>
      <c r="G13" t="s">
        <v>35</v>
      </c>
      <c r="H13" t="s">
        <v>247</v>
      </c>
      <c r="I13" s="6">
        <v>0.52777777777777779</v>
      </c>
      <c r="J13" t="s">
        <v>35</v>
      </c>
      <c r="K13" t="s">
        <v>247</v>
      </c>
      <c r="L13" s="6">
        <v>0.53819444444444442</v>
      </c>
      <c r="M13" t="s">
        <v>35</v>
      </c>
      <c r="N13" t="s">
        <v>246</v>
      </c>
      <c r="O13" s="6">
        <v>0.53125</v>
      </c>
      <c r="P13" t="s">
        <v>35</v>
      </c>
      <c r="Q13" t="s">
        <v>247</v>
      </c>
      <c r="R13" s="6">
        <v>0.53472222222222221</v>
      </c>
      <c r="S13" t="s">
        <v>35</v>
      </c>
      <c r="T13" t="s">
        <v>246</v>
      </c>
      <c r="U13" s="6">
        <v>0.53125</v>
      </c>
      <c r="V13" t="s">
        <v>35</v>
      </c>
      <c r="W13" t="s">
        <v>246</v>
      </c>
      <c r="X13" s="6">
        <v>0.52777777777777779</v>
      </c>
    </row>
    <row r="14" spans="1:24" x14ac:dyDescent="0.1">
      <c r="B14" t="s">
        <v>75</v>
      </c>
      <c r="E14" t="s">
        <v>122</v>
      </c>
      <c r="H14" t="s">
        <v>85</v>
      </c>
      <c r="K14" t="s">
        <v>60</v>
      </c>
      <c r="N14" t="s">
        <v>33</v>
      </c>
      <c r="Q14" t="s">
        <v>78</v>
      </c>
      <c r="T14" t="s">
        <v>84</v>
      </c>
      <c r="W14" t="s">
        <v>122</v>
      </c>
    </row>
    <row r="15" spans="1:24" x14ac:dyDescent="0.1">
      <c r="A15" t="s">
        <v>38</v>
      </c>
      <c r="B15" t="s">
        <v>247</v>
      </c>
      <c r="C15" s="6">
        <v>0.54861111111111116</v>
      </c>
      <c r="D15" t="s">
        <v>38</v>
      </c>
      <c r="E15" t="s">
        <v>247</v>
      </c>
      <c r="F15" s="6">
        <v>0.54513888888888884</v>
      </c>
      <c r="G15" t="s">
        <v>38</v>
      </c>
      <c r="H15" t="s">
        <v>247</v>
      </c>
      <c r="I15" s="6">
        <v>0.54861111111111116</v>
      </c>
      <c r="J15" t="s">
        <v>38</v>
      </c>
      <c r="K15" t="s">
        <v>254</v>
      </c>
      <c r="L15" s="6">
        <v>0.55902777777777779</v>
      </c>
      <c r="M15" t="s">
        <v>38</v>
      </c>
      <c r="N15" t="s">
        <v>247</v>
      </c>
      <c r="O15" s="6">
        <v>0.55208333333333337</v>
      </c>
      <c r="P15" t="s">
        <v>38</v>
      </c>
      <c r="Q15" t="s">
        <v>254</v>
      </c>
      <c r="R15" s="6">
        <v>0.55555555555555558</v>
      </c>
      <c r="S15" t="s">
        <v>38</v>
      </c>
      <c r="T15" t="s">
        <v>247</v>
      </c>
      <c r="U15" s="6">
        <v>0.55208333333333337</v>
      </c>
      <c r="V15" t="s">
        <v>38</v>
      </c>
      <c r="W15" t="s">
        <v>246</v>
      </c>
      <c r="X15" s="6">
        <v>0.54861111111111116</v>
      </c>
    </row>
    <row r="16" spans="1:24" x14ac:dyDescent="0.1">
      <c r="B16" t="s">
        <v>316</v>
      </c>
      <c r="E16" t="s">
        <v>111</v>
      </c>
      <c r="H16" t="s">
        <v>78</v>
      </c>
      <c r="K16" t="s">
        <v>78</v>
      </c>
      <c r="N16" t="s">
        <v>113</v>
      </c>
      <c r="Q16" t="s">
        <v>171</v>
      </c>
      <c r="T16" t="s">
        <v>171</v>
      </c>
      <c r="W16" t="s">
        <v>117</v>
      </c>
    </row>
    <row r="17" spans="1:24" x14ac:dyDescent="0.1">
      <c r="A17" t="s">
        <v>40</v>
      </c>
      <c r="B17" t="s">
        <v>317</v>
      </c>
      <c r="C17" s="6">
        <v>0.57291666666666663</v>
      </c>
      <c r="D17" t="s">
        <v>40</v>
      </c>
      <c r="E17" t="s">
        <v>247</v>
      </c>
      <c r="F17" s="6">
        <v>0.56597222222222221</v>
      </c>
      <c r="G17" t="s">
        <v>40</v>
      </c>
      <c r="H17" t="s">
        <v>254</v>
      </c>
      <c r="I17" s="6">
        <v>0.56944444444444442</v>
      </c>
      <c r="J17" t="s">
        <v>40</v>
      </c>
      <c r="K17" t="s">
        <v>254</v>
      </c>
      <c r="L17" s="6">
        <v>0.57986111111111116</v>
      </c>
      <c r="M17" t="s">
        <v>40</v>
      </c>
      <c r="N17" t="s">
        <v>247</v>
      </c>
      <c r="O17" s="6">
        <v>0.57291666666666663</v>
      </c>
      <c r="P17" t="s">
        <v>40</v>
      </c>
      <c r="Q17" t="s">
        <v>284</v>
      </c>
      <c r="R17" s="6">
        <v>0.57638888888888884</v>
      </c>
      <c r="S17" t="s">
        <v>40</v>
      </c>
      <c r="T17" t="s">
        <v>247</v>
      </c>
      <c r="U17" s="6">
        <v>0.57291666666666663</v>
      </c>
      <c r="V17" t="s">
        <v>40</v>
      </c>
      <c r="W17" t="s">
        <v>247</v>
      </c>
      <c r="X17" s="6">
        <v>0.56944444444444442</v>
      </c>
    </row>
    <row r="18" spans="1:24" x14ac:dyDescent="0.1">
      <c r="B18" t="s">
        <v>244</v>
      </c>
      <c r="E18" t="s">
        <v>78</v>
      </c>
      <c r="H18" t="s">
        <v>39</v>
      </c>
      <c r="K18" t="s">
        <v>185</v>
      </c>
      <c r="N18" t="s">
        <v>114</v>
      </c>
      <c r="Q18" t="s">
        <v>254</v>
      </c>
      <c r="T18" t="s">
        <v>268</v>
      </c>
      <c r="W18" t="s">
        <v>78</v>
      </c>
    </row>
    <row r="19" spans="1:24" x14ac:dyDescent="0.1">
      <c r="B19" t="s">
        <v>318</v>
      </c>
      <c r="D19" t="s">
        <v>42</v>
      </c>
      <c r="E19" t="s">
        <v>339</v>
      </c>
      <c r="F19" s="6">
        <v>0.58680555555555558</v>
      </c>
      <c r="G19" t="s">
        <v>42</v>
      </c>
      <c r="H19" t="s">
        <v>353</v>
      </c>
      <c r="I19" s="6">
        <v>0.59375</v>
      </c>
      <c r="J19" t="s">
        <v>42</v>
      </c>
      <c r="K19" t="s">
        <v>365</v>
      </c>
      <c r="L19" s="6">
        <v>0.60069444444444442</v>
      </c>
      <c r="M19" t="s">
        <v>42</v>
      </c>
      <c r="N19" t="s">
        <v>267</v>
      </c>
      <c r="O19" s="6">
        <v>0.59375</v>
      </c>
      <c r="Q19" t="s">
        <v>78</v>
      </c>
      <c r="S19" t="s">
        <v>42</v>
      </c>
      <c r="T19" t="s">
        <v>378</v>
      </c>
      <c r="U19" s="6">
        <v>0.59375</v>
      </c>
      <c r="V19" t="s">
        <v>42</v>
      </c>
      <c r="W19" t="s">
        <v>397</v>
      </c>
      <c r="X19" s="6">
        <v>0.59375</v>
      </c>
    </row>
    <row r="20" spans="1:24" x14ac:dyDescent="0.1">
      <c r="A20" t="s">
        <v>42</v>
      </c>
      <c r="B20" t="s">
        <v>319</v>
      </c>
      <c r="C20" s="6">
        <v>0.59722222222222221</v>
      </c>
      <c r="E20" t="s">
        <v>254</v>
      </c>
      <c r="H20" t="s">
        <v>246</v>
      </c>
      <c r="K20" t="s">
        <v>225</v>
      </c>
      <c r="N20" t="s">
        <v>254</v>
      </c>
      <c r="P20" t="s">
        <v>42</v>
      </c>
      <c r="Q20" t="s">
        <v>285</v>
      </c>
      <c r="R20" s="6">
        <v>0.60069444444444442</v>
      </c>
      <c r="T20" t="s">
        <v>254</v>
      </c>
      <c r="W20" t="s">
        <v>254</v>
      </c>
    </row>
    <row r="21" spans="1:24" x14ac:dyDescent="0.1">
      <c r="B21" t="s">
        <v>246</v>
      </c>
      <c r="E21" t="s">
        <v>135</v>
      </c>
      <c r="H21" t="s">
        <v>354</v>
      </c>
      <c r="K21" t="s">
        <v>366</v>
      </c>
      <c r="N21" t="s">
        <v>268</v>
      </c>
      <c r="Q21" t="s">
        <v>225</v>
      </c>
      <c r="T21" t="s">
        <v>114</v>
      </c>
      <c r="W21" t="s">
        <v>60</v>
      </c>
    </row>
    <row r="22" spans="1:24" x14ac:dyDescent="0.1">
      <c r="B22" t="s">
        <v>143</v>
      </c>
      <c r="D22" t="s">
        <v>46</v>
      </c>
      <c r="E22" t="s">
        <v>340</v>
      </c>
      <c r="F22" s="6">
        <v>0.61111111111111116</v>
      </c>
      <c r="G22" t="s">
        <v>46</v>
      </c>
      <c r="H22" t="s">
        <v>355</v>
      </c>
      <c r="I22" s="6">
        <v>0.61805555555555558</v>
      </c>
      <c r="J22" t="s">
        <v>46</v>
      </c>
      <c r="K22" t="s">
        <v>367</v>
      </c>
      <c r="L22" s="6">
        <v>0.625</v>
      </c>
      <c r="M22" t="s">
        <v>46</v>
      </c>
      <c r="N22" t="s">
        <v>269</v>
      </c>
      <c r="O22" s="6">
        <v>0.61805555555555558</v>
      </c>
      <c r="Q22" t="s">
        <v>286</v>
      </c>
      <c r="S22" t="s">
        <v>46</v>
      </c>
      <c r="T22" t="s">
        <v>379</v>
      </c>
      <c r="U22" s="6">
        <v>0.61805555555555558</v>
      </c>
      <c r="V22" t="s">
        <v>46</v>
      </c>
      <c r="W22" t="s">
        <v>398</v>
      </c>
      <c r="X22" s="6">
        <v>0.61805555555555558</v>
      </c>
    </row>
    <row r="23" spans="1:24" x14ac:dyDescent="0.1">
      <c r="A23" t="s">
        <v>46</v>
      </c>
      <c r="B23" t="s">
        <v>320</v>
      </c>
      <c r="C23" s="6">
        <v>0.62152777777777779</v>
      </c>
      <c r="E23" t="s">
        <v>250</v>
      </c>
      <c r="H23" t="s">
        <v>264</v>
      </c>
      <c r="K23" t="s">
        <v>250</v>
      </c>
      <c r="N23" t="s">
        <v>264</v>
      </c>
      <c r="P23" t="s">
        <v>46</v>
      </c>
      <c r="Q23" t="s">
        <v>287</v>
      </c>
      <c r="R23" s="6">
        <v>0.625</v>
      </c>
      <c r="T23" t="s">
        <v>254</v>
      </c>
      <c r="W23" t="s">
        <v>250</v>
      </c>
    </row>
    <row r="24" spans="1:24" x14ac:dyDescent="0.1">
      <c r="B24" t="s">
        <v>254</v>
      </c>
      <c r="E24" t="s">
        <v>268</v>
      </c>
      <c r="H24" t="s">
        <v>356</v>
      </c>
      <c r="K24" t="s">
        <v>321</v>
      </c>
      <c r="N24" t="s">
        <v>270</v>
      </c>
      <c r="Q24" t="s">
        <v>250</v>
      </c>
      <c r="T24" t="s">
        <v>111</v>
      </c>
      <c r="W24" t="s">
        <v>188</v>
      </c>
    </row>
    <row r="25" spans="1:24" x14ac:dyDescent="0.1">
      <c r="B25" t="s">
        <v>321</v>
      </c>
      <c r="D25" t="s">
        <v>49</v>
      </c>
      <c r="E25" t="s">
        <v>341</v>
      </c>
      <c r="F25" s="6">
        <v>0.63541666666666663</v>
      </c>
      <c r="G25" t="s">
        <v>49</v>
      </c>
      <c r="H25" t="s">
        <v>357</v>
      </c>
      <c r="I25" s="6">
        <v>0.64583333333333337</v>
      </c>
      <c r="J25" t="s">
        <v>49</v>
      </c>
      <c r="K25" t="s">
        <v>368</v>
      </c>
      <c r="L25" s="6">
        <v>0.65277777777777779</v>
      </c>
      <c r="M25" t="s">
        <v>49</v>
      </c>
      <c r="N25" t="s">
        <v>271</v>
      </c>
      <c r="O25" s="6">
        <v>0.64583333333333337</v>
      </c>
      <c r="Q25" t="s">
        <v>203</v>
      </c>
      <c r="S25" t="s">
        <v>49</v>
      </c>
      <c r="T25" t="s">
        <v>380</v>
      </c>
      <c r="U25" s="6">
        <v>0.64236111111111116</v>
      </c>
      <c r="V25" t="s">
        <v>49</v>
      </c>
      <c r="W25" t="s">
        <v>399</v>
      </c>
      <c r="X25" s="6">
        <v>0.64236111111111116</v>
      </c>
    </row>
    <row r="26" spans="1:24" x14ac:dyDescent="0.1">
      <c r="A26" t="s">
        <v>49</v>
      </c>
      <c r="B26" t="s">
        <v>322</v>
      </c>
      <c r="C26" s="6">
        <v>0.64583333333333337</v>
      </c>
      <c r="E26" t="s">
        <v>264</v>
      </c>
      <c r="H26" t="s">
        <v>252</v>
      </c>
      <c r="K26" t="s">
        <v>264</v>
      </c>
      <c r="N26" t="s">
        <v>272</v>
      </c>
      <c r="P26" t="s">
        <v>49</v>
      </c>
      <c r="Q26" t="s">
        <v>288</v>
      </c>
      <c r="R26" s="6">
        <v>0.65277777777777779</v>
      </c>
      <c r="T26" t="s">
        <v>264</v>
      </c>
      <c r="W26" t="s">
        <v>250</v>
      </c>
    </row>
    <row r="27" spans="1:24" x14ac:dyDescent="0.1">
      <c r="B27" t="s">
        <v>225</v>
      </c>
      <c r="E27" t="s">
        <v>342</v>
      </c>
      <c r="H27" t="s">
        <v>225</v>
      </c>
      <c r="K27" t="s">
        <v>60</v>
      </c>
      <c r="N27" t="s">
        <v>264</v>
      </c>
      <c r="Q27" t="s">
        <v>225</v>
      </c>
      <c r="T27" t="s">
        <v>312</v>
      </c>
      <c r="W27" t="s">
        <v>171</v>
      </c>
    </row>
    <row r="28" spans="1:24" x14ac:dyDescent="0.1">
      <c r="B28" t="s">
        <v>90</v>
      </c>
      <c r="D28" t="s">
        <v>53</v>
      </c>
      <c r="E28" t="s">
        <v>254</v>
      </c>
      <c r="F28" s="6">
        <v>0.66666666666666663</v>
      </c>
      <c r="H28" t="s">
        <v>117</v>
      </c>
      <c r="J28" t="s">
        <v>53</v>
      </c>
      <c r="K28" t="s">
        <v>369</v>
      </c>
      <c r="L28" s="6">
        <v>0.6875</v>
      </c>
      <c r="N28" t="s">
        <v>273</v>
      </c>
      <c r="Q28" t="s">
        <v>142</v>
      </c>
      <c r="S28" t="s">
        <v>53</v>
      </c>
      <c r="T28" t="s">
        <v>247</v>
      </c>
      <c r="U28" s="6">
        <v>0.67361111111111116</v>
      </c>
      <c r="V28" t="s">
        <v>53</v>
      </c>
      <c r="W28" t="s">
        <v>254</v>
      </c>
      <c r="X28" s="6">
        <v>0.67361111111111116</v>
      </c>
    </row>
    <row r="29" spans="1:24" x14ac:dyDescent="0.1">
      <c r="A29" t="s">
        <v>53</v>
      </c>
      <c r="B29" t="s">
        <v>254</v>
      </c>
      <c r="C29" s="6">
        <v>0.67361111111111116</v>
      </c>
      <c r="E29" t="s">
        <v>85</v>
      </c>
      <c r="G29" t="s">
        <v>53</v>
      </c>
      <c r="H29" t="s">
        <v>254</v>
      </c>
      <c r="I29" s="6">
        <v>0.67361111111111116</v>
      </c>
      <c r="K29" t="s">
        <v>250</v>
      </c>
      <c r="M29" t="s">
        <v>53</v>
      </c>
      <c r="N29" t="s">
        <v>254</v>
      </c>
      <c r="O29" s="6">
        <v>0.67361111111111116</v>
      </c>
      <c r="P29" t="s">
        <v>53</v>
      </c>
      <c r="Q29" t="s">
        <v>289</v>
      </c>
      <c r="R29" s="6">
        <v>0.6875</v>
      </c>
      <c r="T29" t="s">
        <v>85</v>
      </c>
      <c r="W29" t="s">
        <v>113</v>
      </c>
    </row>
    <row r="30" spans="1:24" x14ac:dyDescent="0.1">
      <c r="B30" t="s">
        <v>290</v>
      </c>
      <c r="H30" t="s">
        <v>114</v>
      </c>
      <c r="K30" t="s">
        <v>114</v>
      </c>
      <c r="N30" t="s">
        <v>85</v>
      </c>
      <c r="Q30" t="s">
        <v>250</v>
      </c>
    </row>
    <row r="31" spans="1:24" x14ac:dyDescent="0.1">
      <c r="Q31" t="s">
        <v>290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35BD3-614F-446E-9130-7F8BB9253A7E}">
  <sheetPr codeName="Sheet14"/>
  <dimension ref="A1:R29"/>
  <sheetViews>
    <sheetView workbookViewId="0"/>
  </sheetViews>
  <sheetFormatPr defaultRowHeight="13.5" x14ac:dyDescent="0.1"/>
  <cols>
    <col min="1" max="1" width="11.1796875" bestFit="1" customWidth="1"/>
    <col min="2" max="2" width="24.54296875" bestFit="1" customWidth="1"/>
    <col min="3" max="3" width="9.26953125" bestFit="1" customWidth="1"/>
    <col min="4" max="4" width="11.1796875" bestFit="1" customWidth="1"/>
    <col min="5" max="5" width="24.6796875" bestFit="1" customWidth="1"/>
    <col min="6" max="6" width="9.26953125" bestFit="1" customWidth="1"/>
    <col min="7" max="7" width="11.1796875" bestFit="1" customWidth="1"/>
    <col min="8" max="8" width="20.04296875" bestFit="1" customWidth="1"/>
    <col min="9" max="9" width="9.26953125" bestFit="1" customWidth="1"/>
    <col min="10" max="10" width="11.1796875" bestFit="1" customWidth="1"/>
    <col min="11" max="11" width="30.81640625" bestFit="1" customWidth="1"/>
    <col min="12" max="12" width="9.26953125" bestFit="1" customWidth="1"/>
    <col min="13" max="13" width="11.1796875" bestFit="1" customWidth="1"/>
    <col min="14" max="14" width="24.1328125" bestFit="1" customWidth="1"/>
    <col min="15" max="15" width="9.26953125" bestFit="1" customWidth="1"/>
    <col min="16" max="16" width="11.1796875" bestFit="1" customWidth="1"/>
    <col min="17" max="17" width="20.99609375" bestFit="1" customWidth="1"/>
    <col min="18" max="18" width="9.26953125" bestFit="1" customWidth="1"/>
  </cols>
  <sheetData>
    <row r="1" spans="1:18" x14ac:dyDescent="0.1">
      <c r="A1" t="s">
        <v>274</v>
      </c>
      <c r="B1" s="1"/>
      <c r="D1" t="s">
        <v>291</v>
      </c>
      <c r="E1" s="1"/>
      <c r="G1" t="s">
        <v>381</v>
      </c>
      <c r="J1" t="s">
        <v>400</v>
      </c>
      <c r="M1" t="s">
        <v>421</v>
      </c>
      <c r="P1" t="s">
        <v>426</v>
      </c>
    </row>
    <row r="2" spans="1:18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</row>
    <row r="3" spans="1:18" x14ac:dyDescent="0.1">
      <c r="A3" t="s">
        <v>24</v>
      </c>
      <c r="B3" t="s">
        <v>25</v>
      </c>
      <c r="C3" s="6">
        <v>0.40625</v>
      </c>
      <c r="D3" t="s">
        <v>24</v>
      </c>
      <c r="E3" t="s">
        <v>25</v>
      </c>
      <c r="F3" s="6">
        <v>0.40625</v>
      </c>
      <c r="G3" t="s">
        <v>24</v>
      </c>
      <c r="H3" t="s">
        <v>25</v>
      </c>
      <c r="I3" s="6">
        <v>0.40625</v>
      </c>
      <c r="J3" t="s">
        <v>24</v>
      </c>
      <c r="K3" t="s">
        <v>25</v>
      </c>
      <c r="L3" s="6">
        <v>0.40625</v>
      </c>
      <c r="M3" t="s">
        <v>24</v>
      </c>
      <c r="N3" t="s">
        <v>25</v>
      </c>
      <c r="O3" s="6">
        <v>0.40625</v>
      </c>
      <c r="P3" t="s">
        <v>24</v>
      </c>
      <c r="Q3" t="s">
        <v>25</v>
      </c>
      <c r="R3" s="6">
        <v>0.40625</v>
      </c>
    </row>
    <row r="4" spans="1:18" x14ac:dyDescent="0.1">
      <c r="B4" t="s">
        <v>31</v>
      </c>
      <c r="E4" t="s">
        <v>26</v>
      </c>
      <c r="H4" t="s">
        <v>276</v>
      </c>
      <c r="K4" t="s">
        <v>276</v>
      </c>
      <c r="N4" t="s">
        <v>26</v>
      </c>
      <c r="Q4" t="s">
        <v>427</v>
      </c>
    </row>
    <row r="5" spans="1:18" x14ac:dyDescent="0.1">
      <c r="A5" t="s">
        <v>27</v>
      </c>
      <c r="B5" t="s">
        <v>25</v>
      </c>
      <c r="C5" s="6">
        <v>0.42708333333333331</v>
      </c>
      <c r="D5" t="s">
        <v>27</v>
      </c>
      <c r="E5" t="s">
        <v>25</v>
      </c>
      <c r="F5" s="6">
        <v>0.4236111111111111</v>
      </c>
      <c r="G5" t="s">
        <v>27</v>
      </c>
      <c r="H5" t="s">
        <v>25</v>
      </c>
      <c r="I5" s="6">
        <v>0.42708333333333331</v>
      </c>
      <c r="J5" t="s">
        <v>27</v>
      </c>
      <c r="K5" t="s">
        <v>25</v>
      </c>
      <c r="L5" s="6">
        <v>0.4236111111111111</v>
      </c>
      <c r="M5" t="s">
        <v>27</v>
      </c>
      <c r="N5" t="s">
        <v>25</v>
      </c>
      <c r="O5" s="6">
        <v>0.42708333333333331</v>
      </c>
      <c r="P5" t="s">
        <v>27</v>
      </c>
      <c r="Q5" t="s">
        <v>25</v>
      </c>
      <c r="R5" s="6">
        <v>0.42708333333333331</v>
      </c>
    </row>
    <row r="6" spans="1:18" x14ac:dyDescent="0.1">
      <c r="B6" t="s">
        <v>33</v>
      </c>
      <c r="E6" t="s">
        <v>33</v>
      </c>
      <c r="H6" t="s">
        <v>228</v>
      </c>
      <c r="K6" t="s">
        <v>26</v>
      </c>
      <c r="N6" t="s">
        <v>33</v>
      </c>
      <c r="Q6" t="s">
        <v>33</v>
      </c>
    </row>
    <row r="7" spans="1:18" x14ac:dyDescent="0.1">
      <c r="A7" t="s">
        <v>30</v>
      </c>
      <c r="B7" t="s">
        <v>25</v>
      </c>
      <c r="C7" s="6">
        <v>0.44791666666666669</v>
      </c>
      <c r="D7" t="s">
        <v>30</v>
      </c>
      <c r="E7" t="s">
        <v>25</v>
      </c>
      <c r="F7" s="6">
        <v>0.44444444444444442</v>
      </c>
      <c r="G7" t="s">
        <v>30</v>
      </c>
      <c r="H7" t="s">
        <v>25</v>
      </c>
      <c r="I7" s="6">
        <v>0.44791666666666669</v>
      </c>
      <c r="J7" t="s">
        <v>30</v>
      </c>
      <c r="K7" t="s">
        <v>25</v>
      </c>
      <c r="L7" s="6">
        <v>0.44444444444444442</v>
      </c>
      <c r="M7" t="s">
        <v>30</v>
      </c>
      <c r="N7" t="s">
        <v>25</v>
      </c>
      <c r="O7" s="6">
        <v>0.44791666666666669</v>
      </c>
      <c r="P7" t="s">
        <v>30</v>
      </c>
      <c r="Q7" t="s">
        <v>25</v>
      </c>
      <c r="R7" s="6">
        <v>0.44791666666666669</v>
      </c>
    </row>
    <row r="8" spans="1:18" x14ac:dyDescent="0.1">
      <c r="B8" t="s">
        <v>275</v>
      </c>
      <c r="E8" t="s">
        <v>31</v>
      </c>
      <c r="H8" t="s">
        <v>33</v>
      </c>
      <c r="K8" t="s">
        <v>29</v>
      </c>
      <c r="N8" t="s">
        <v>228</v>
      </c>
      <c r="Q8" t="s">
        <v>428</v>
      </c>
    </row>
    <row r="9" spans="1:18" x14ac:dyDescent="0.1">
      <c r="A9" t="s">
        <v>32</v>
      </c>
      <c r="B9" t="s">
        <v>25</v>
      </c>
      <c r="C9" s="6">
        <v>0.46875</v>
      </c>
      <c r="D9" t="s">
        <v>32</v>
      </c>
      <c r="E9" t="s">
        <v>25</v>
      </c>
      <c r="F9" s="6">
        <v>0.46527777777777779</v>
      </c>
      <c r="G9" t="s">
        <v>32</v>
      </c>
      <c r="H9" t="s">
        <v>25</v>
      </c>
      <c r="I9" s="6">
        <v>0.46875</v>
      </c>
      <c r="J9" t="s">
        <v>32</v>
      </c>
      <c r="K9" t="s">
        <v>25</v>
      </c>
      <c r="L9" s="6">
        <v>0.46527777777777779</v>
      </c>
      <c r="M9" t="s">
        <v>32</v>
      </c>
      <c r="N9" t="s">
        <v>25</v>
      </c>
      <c r="O9" s="6">
        <v>0.46875</v>
      </c>
      <c r="P9" t="s">
        <v>32</v>
      </c>
      <c r="Q9" t="s">
        <v>25</v>
      </c>
      <c r="R9" s="6">
        <v>0.46875</v>
      </c>
    </row>
    <row r="10" spans="1:18" x14ac:dyDescent="0.1">
      <c r="B10" t="s">
        <v>276</v>
      </c>
      <c r="E10" t="s">
        <v>33</v>
      </c>
      <c r="H10" t="s">
        <v>31</v>
      </c>
      <c r="K10" t="s">
        <v>31</v>
      </c>
      <c r="N10" t="s">
        <v>276</v>
      </c>
      <c r="Q10" t="s">
        <v>429</v>
      </c>
    </row>
    <row r="11" spans="1:18" x14ac:dyDescent="0.1">
      <c r="A11" t="s">
        <v>34</v>
      </c>
      <c r="B11" t="s">
        <v>25</v>
      </c>
      <c r="C11" s="6">
        <v>0.50347222222222221</v>
      </c>
      <c r="D11" t="s">
        <v>34</v>
      </c>
      <c r="E11" t="s">
        <v>25</v>
      </c>
      <c r="F11" s="6">
        <v>0.5</v>
      </c>
      <c r="G11" t="s">
        <v>34</v>
      </c>
      <c r="H11" t="s">
        <v>25</v>
      </c>
      <c r="I11" s="6">
        <v>0.50347222222222221</v>
      </c>
      <c r="J11" t="s">
        <v>34</v>
      </c>
      <c r="K11" t="s">
        <v>25</v>
      </c>
      <c r="L11" s="6">
        <v>0.5</v>
      </c>
      <c r="M11" t="s">
        <v>34</v>
      </c>
      <c r="N11" t="s">
        <v>25</v>
      </c>
      <c r="O11" s="6">
        <v>0.50347222222222221</v>
      </c>
      <c r="P11" t="s">
        <v>34</v>
      </c>
      <c r="Q11" t="s">
        <v>25</v>
      </c>
      <c r="R11" s="6">
        <v>0.50347222222222221</v>
      </c>
    </row>
    <row r="12" spans="1:18" x14ac:dyDescent="0.1">
      <c r="B12" t="s">
        <v>29</v>
      </c>
      <c r="E12" t="s">
        <v>65</v>
      </c>
      <c r="H12" t="s">
        <v>382</v>
      </c>
      <c r="K12" t="s">
        <v>33</v>
      </c>
      <c r="N12" t="s">
        <v>29</v>
      </c>
      <c r="Q12" t="s">
        <v>65</v>
      </c>
    </row>
    <row r="13" spans="1:18" x14ac:dyDescent="0.1">
      <c r="A13" t="s">
        <v>35</v>
      </c>
      <c r="B13" t="s">
        <v>25</v>
      </c>
      <c r="C13" s="6">
        <v>0.52430555555555558</v>
      </c>
      <c r="D13" t="s">
        <v>35</v>
      </c>
      <c r="E13" t="s">
        <v>247</v>
      </c>
      <c r="F13" s="6">
        <v>0.52083333333333337</v>
      </c>
      <c r="G13" t="s">
        <v>35</v>
      </c>
      <c r="H13" t="s">
        <v>25</v>
      </c>
      <c r="I13" s="6">
        <v>0.52430555555555558</v>
      </c>
      <c r="J13" t="s">
        <v>35</v>
      </c>
      <c r="K13" t="s">
        <v>247</v>
      </c>
      <c r="L13" s="6">
        <v>0.52083333333333337</v>
      </c>
      <c r="M13" t="s">
        <v>35</v>
      </c>
      <c r="N13" t="s">
        <v>25</v>
      </c>
      <c r="O13" s="6">
        <v>0.52430555555555558</v>
      </c>
      <c r="P13" t="s">
        <v>35</v>
      </c>
      <c r="Q13" t="s">
        <v>247</v>
      </c>
      <c r="R13" s="6">
        <v>0.52430555555555558</v>
      </c>
    </row>
    <row r="14" spans="1:18" x14ac:dyDescent="0.1">
      <c r="B14" t="s">
        <v>149</v>
      </c>
      <c r="E14" t="s">
        <v>292</v>
      </c>
      <c r="H14" t="s">
        <v>149</v>
      </c>
      <c r="K14" t="s">
        <v>48</v>
      </c>
      <c r="N14" t="s">
        <v>31</v>
      </c>
      <c r="Q14" t="s">
        <v>73</v>
      </c>
    </row>
    <row r="15" spans="1:18" x14ac:dyDescent="0.1">
      <c r="A15" t="s">
        <v>38</v>
      </c>
      <c r="B15" t="s">
        <v>277</v>
      </c>
      <c r="C15" s="6">
        <v>0.54513888888888884</v>
      </c>
      <c r="D15" t="s">
        <v>38</v>
      </c>
      <c r="E15" t="s">
        <v>247</v>
      </c>
      <c r="F15" s="6">
        <v>0.54166666666666663</v>
      </c>
      <c r="G15" t="s">
        <v>38</v>
      </c>
      <c r="H15" t="s">
        <v>247</v>
      </c>
      <c r="I15" s="6">
        <v>0.54513888888888884</v>
      </c>
      <c r="J15" t="s">
        <v>38</v>
      </c>
      <c r="K15" t="s">
        <v>247</v>
      </c>
      <c r="L15" s="6">
        <v>0.54166666666666663</v>
      </c>
      <c r="M15" t="s">
        <v>38</v>
      </c>
      <c r="N15" t="s">
        <v>247</v>
      </c>
      <c r="O15" s="6">
        <v>0.54513888888888884</v>
      </c>
      <c r="P15" t="s">
        <v>38</v>
      </c>
      <c r="Q15" t="s">
        <v>247</v>
      </c>
      <c r="R15" s="6">
        <v>0.54513888888888884</v>
      </c>
    </row>
    <row r="16" spans="1:18" x14ac:dyDescent="0.1">
      <c r="B16" t="s">
        <v>278</v>
      </c>
      <c r="E16" t="s">
        <v>66</v>
      </c>
      <c r="H16" t="s">
        <v>383</v>
      </c>
      <c r="K16" t="s">
        <v>60</v>
      </c>
      <c r="N16" t="s">
        <v>422</v>
      </c>
      <c r="Q16" t="s">
        <v>66</v>
      </c>
    </row>
    <row r="17" spans="1:18" x14ac:dyDescent="0.1">
      <c r="A17" t="s">
        <v>40</v>
      </c>
      <c r="B17" t="s">
        <v>277</v>
      </c>
      <c r="C17" s="6">
        <v>0.56597222222222221</v>
      </c>
      <c r="D17" t="s">
        <v>40</v>
      </c>
      <c r="E17" t="s">
        <v>247</v>
      </c>
      <c r="F17" s="6">
        <v>0.5625</v>
      </c>
      <c r="G17" t="s">
        <v>40</v>
      </c>
      <c r="H17" t="s">
        <v>247</v>
      </c>
      <c r="I17" s="6">
        <v>0.56597222222222221</v>
      </c>
      <c r="J17" t="s">
        <v>40</v>
      </c>
      <c r="K17" t="s">
        <v>247</v>
      </c>
      <c r="L17" s="6">
        <v>0.5625</v>
      </c>
      <c r="M17" t="s">
        <v>40</v>
      </c>
      <c r="N17" t="s">
        <v>247</v>
      </c>
      <c r="O17" s="6">
        <v>0.56597222222222221</v>
      </c>
      <c r="P17" t="s">
        <v>40</v>
      </c>
      <c r="Q17" t="s">
        <v>247</v>
      </c>
      <c r="R17" s="6">
        <v>0.56597222222222221</v>
      </c>
    </row>
    <row r="18" spans="1:18" x14ac:dyDescent="0.1">
      <c r="B18" t="s">
        <v>279</v>
      </c>
      <c r="E18" t="s">
        <v>39</v>
      </c>
      <c r="H18" t="s">
        <v>45</v>
      </c>
      <c r="K18" t="s">
        <v>45</v>
      </c>
      <c r="N18" t="s">
        <v>45</v>
      </c>
      <c r="Q18" t="s">
        <v>39</v>
      </c>
    </row>
    <row r="19" spans="1:18" x14ac:dyDescent="0.1">
      <c r="A19" t="s">
        <v>42</v>
      </c>
      <c r="B19" t="s">
        <v>280</v>
      </c>
      <c r="C19" s="6">
        <v>0.58680555555555558</v>
      </c>
      <c r="D19" t="s">
        <v>42</v>
      </c>
      <c r="E19" t="s">
        <v>296</v>
      </c>
      <c r="F19" s="6">
        <v>0.58680555555555558</v>
      </c>
      <c r="G19" t="s">
        <v>42</v>
      </c>
      <c r="H19" t="s">
        <v>384</v>
      </c>
      <c r="I19" s="6">
        <v>0.58680555555555558</v>
      </c>
      <c r="J19" t="s">
        <v>42</v>
      </c>
      <c r="K19" t="s">
        <v>401</v>
      </c>
      <c r="L19" s="6">
        <v>0.58680555555555558</v>
      </c>
      <c r="M19" t="s">
        <v>42</v>
      </c>
      <c r="N19" t="s">
        <v>423</v>
      </c>
      <c r="O19" s="6">
        <v>0.58680555555555558</v>
      </c>
      <c r="P19" t="s">
        <v>42</v>
      </c>
      <c r="Q19" t="s">
        <v>430</v>
      </c>
      <c r="R19" s="6">
        <v>0.58680555555555558</v>
      </c>
    </row>
    <row r="20" spans="1:18" x14ac:dyDescent="0.1">
      <c r="B20" t="s">
        <v>247</v>
      </c>
      <c r="E20" t="s">
        <v>247</v>
      </c>
      <c r="H20" t="s">
        <v>246</v>
      </c>
      <c r="K20" t="s">
        <v>247</v>
      </c>
      <c r="N20" t="s">
        <v>246</v>
      </c>
      <c r="Q20" t="s">
        <v>247</v>
      </c>
    </row>
    <row r="21" spans="1:18" x14ac:dyDescent="0.1">
      <c r="B21" t="s">
        <v>48</v>
      </c>
      <c r="E21" t="s">
        <v>73</v>
      </c>
      <c r="H21" t="s">
        <v>29</v>
      </c>
      <c r="K21" t="s">
        <v>39</v>
      </c>
      <c r="N21" t="s">
        <v>33</v>
      </c>
      <c r="Q21" t="s">
        <v>60</v>
      </c>
    </row>
    <row r="22" spans="1:18" x14ac:dyDescent="0.1">
      <c r="A22" t="s">
        <v>46</v>
      </c>
      <c r="B22" t="s">
        <v>281</v>
      </c>
      <c r="C22" s="6">
        <v>0.61111111111111116</v>
      </c>
      <c r="D22" t="s">
        <v>46</v>
      </c>
      <c r="E22" t="s">
        <v>293</v>
      </c>
      <c r="F22" s="6">
        <v>0.61111111111111116</v>
      </c>
      <c r="G22" t="s">
        <v>46</v>
      </c>
      <c r="H22" t="s">
        <v>385</v>
      </c>
      <c r="I22" s="6">
        <v>0.61111111111111116</v>
      </c>
      <c r="J22" t="s">
        <v>46</v>
      </c>
      <c r="K22" t="s">
        <v>402</v>
      </c>
      <c r="L22" s="6">
        <v>0.61111111111111116</v>
      </c>
      <c r="M22" t="s">
        <v>46</v>
      </c>
      <c r="N22" t="s">
        <v>424</v>
      </c>
      <c r="O22" s="6">
        <v>0.61111111111111116</v>
      </c>
      <c r="P22" t="s">
        <v>46</v>
      </c>
      <c r="Q22" t="s">
        <v>431</v>
      </c>
      <c r="R22" s="6">
        <v>0.61111111111111116</v>
      </c>
    </row>
    <row r="23" spans="1:18" x14ac:dyDescent="0.1">
      <c r="B23" t="s">
        <v>254</v>
      </c>
      <c r="E23" t="s">
        <v>254</v>
      </c>
      <c r="H23" t="s">
        <v>247</v>
      </c>
      <c r="K23" t="s">
        <v>254</v>
      </c>
      <c r="N23" t="s">
        <v>254</v>
      </c>
      <c r="Q23" t="s">
        <v>254</v>
      </c>
    </row>
    <row r="24" spans="1:18" x14ac:dyDescent="0.1">
      <c r="B24" t="s">
        <v>39</v>
      </c>
      <c r="E24" t="s">
        <v>279</v>
      </c>
      <c r="H24" t="s">
        <v>135</v>
      </c>
      <c r="K24" t="s">
        <v>73</v>
      </c>
      <c r="N24" t="s">
        <v>39</v>
      </c>
      <c r="Q24" t="s">
        <v>45</v>
      </c>
    </row>
    <row r="25" spans="1:18" x14ac:dyDescent="0.1">
      <c r="A25" t="s">
        <v>49</v>
      </c>
      <c r="B25" t="s">
        <v>282</v>
      </c>
      <c r="C25" s="6">
        <v>0.63541666666666663</v>
      </c>
      <c r="D25" t="s">
        <v>49</v>
      </c>
      <c r="E25" t="s">
        <v>294</v>
      </c>
      <c r="F25" s="6">
        <v>0.63541666666666663</v>
      </c>
      <c r="G25" t="s">
        <v>49</v>
      </c>
      <c r="H25" t="s">
        <v>386</v>
      </c>
      <c r="I25" s="6">
        <v>0.63541666666666663</v>
      </c>
      <c r="J25" t="s">
        <v>49</v>
      </c>
      <c r="K25" t="s">
        <v>403</v>
      </c>
      <c r="L25" s="6">
        <v>0.63541666666666663</v>
      </c>
      <c r="M25" t="s">
        <v>49</v>
      </c>
      <c r="N25" t="s">
        <v>425</v>
      </c>
      <c r="O25" s="6">
        <v>0.63541666666666663</v>
      </c>
      <c r="P25" t="s">
        <v>49</v>
      </c>
      <c r="Q25" t="s">
        <v>432</v>
      </c>
      <c r="R25" s="6">
        <v>0.63541666666666663</v>
      </c>
    </row>
    <row r="26" spans="1:18" x14ac:dyDescent="0.1">
      <c r="B26" t="s">
        <v>264</v>
      </c>
      <c r="E26" t="s">
        <v>264</v>
      </c>
      <c r="H26" t="s">
        <v>254</v>
      </c>
      <c r="K26" t="s">
        <v>264</v>
      </c>
      <c r="N26" t="s">
        <v>250</v>
      </c>
      <c r="Q26" t="s">
        <v>264</v>
      </c>
    </row>
    <row r="27" spans="1:18" x14ac:dyDescent="0.1">
      <c r="B27" t="s">
        <v>198</v>
      </c>
      <c r="E27" t="s">
        <v>295</v>
      </c>
      <c r="H27" t="s">
        <v>198</v>
      </c>
      <c r="K27" t="s">
        <v>404</v>
      </c>
      <c r="N27" t="s">
        <v>279</v>
      </c>
      <c r="Q27" t="s">
        <v>69</v>
      </c>
    </row>
    <row r="28" spans="1:18" x14ac:dyDescent="0.1">
      <c r="A28" t="s">
        <v>53</v>
      </c>
      <c r="B28" t="s">
        <v>247</v>
      </c>
      <c r="C28" s="6">
        <v>0.66666666666666663</v>
      </c>
      <c r="D28" t="s">
        <v>53</v>
      </c>
      <c r="E28" t="s">
        <v>247</v>
      </c>
      <c r="F28" s="6">
        <v>0.66666666666666663</v>
      </c>
      <c r="G28" t="s">
        <v>53</v>
      </c>
      <c r="H28" t="s">
        <v>247</v>
      </c>
      <c r="I28" s="6">
        <v>0.66666666666666663</v>
      </c>
      <c r="J28" t="s">
        <v>53</v>
      </c>
      <c r="K28" t="s">
        <v>247</v>
      </c>
      <c r="L28" s="6">
        <v>0.66666666666666663</v>
      </c>
      <c r="M28" t="s">
        <v>53</v>
      </c>
      <c r="N28" t="s">
        <v>247</v>
      </c>
      <c r="O28" s="6">
        <v>0.66666666666666663</v>
      </c>
      <c r="P28" t="s">
        <v>53</v>
      </c>
      <c r="Q28" t="s">
        <v>247</v>
      </c>
      <c r="R28" s="6">
        <v>0.66666666666666663</v>
      </c>
    </row>
    <row r="29" spans="1:18" x14ac:dyDescent="0.1">
      <c r="B29" t="s">
        <v>196</v>
      </c>
      <c r="E29" t="s">
        <v>45</v>
      </c>
      <c r="H29" t="s">
        <v>39</v>
      </c>
      <c r="K29" t="s">
        <v>279</v>
      </c>
      <c r="N29" t="s">
        <v>58</v>
      </c>
      <c r="Q29" t="s">
        <v>279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6D06-EFAB-4FDF-AB95-68413B8FD5FA}">
  <sheetPr codeName="Sheet15"/>
  <dimension ref="A1:AJ33"/>
  <sheetViews>
    <sheetView zoomScaleNormal="100" zoomScaleSheetLayoutView="100" workbookViewId="0"/>
  </sheetViews>
  <sheetFormatPr defaultRowHeight="13.5" x14ac:dyDescent="0.1"/>
  <cols>
    <col min="1" max="1" width="11.1796875" bestFit="1" customWidth="1"/>
    <col min="2" max="2" width="19.90625" bestFit="1" customWidth="1"/>
    <col min="3" max="3" width="9.26953125" bestFit="1" customWidth="1"/>
    <col min="4" max="4" width="11.1796875" bestFit="1" customWidth="1"/>
    <col min="5" max="5" width="25.49609375" bestFit="1" customWidth="1"/>
    <col min="6" max="6" width="9.26953125" bestFit="1" customWidth="1"/>
    <col min="7" max="7" width="11.1796875" bestFit="1" customWidth="1"/>
    <col min="8" max="8" width="34.2265625" bestFit="1" customWidth="1"/>
    <col min="9" max="9" width="9.26953125" bestFit="1" customWidth="1"/>
    <col min="10" max="10" width="11.1796875" bestFit="1" customWidth="1"/>
    <col min="11" max="11" width="25.08984375" bestFit="1" customWidth="1"/>
    <col min="12" max="12" width="9.26953125" bestFit="1" customWidth="1"/>
    <col min="13" max="13" width="11.1796875" bestFit="1" customWidth="1"/>
    <col min="14" max="14" width="26.04296875" bestFit="1" customWidth="1"/>
    <col min="15" max="15" width="9.26953125" bestFit="1" customWidth="1"/>
    <col min="16" max="16" width="11.1796875" bestFit="1" customWidth="1"/>
    <col min="17" max="17" width="28.2265625" bestFit="1" customWidth="1"/>
    <col min="18" max="18" width="9.26953125" bestFit="1" customWidth="1"/>
    <col min="19" max="19" width="11.1796875" bestFit="1" customWidth="1"/>
    <col min="20" max="20" width="18.26953125" bestFit="1" customWidth="1"/>
    <col min="21" max="21" width="9.26953125" bestFit="1" customWidth="1"/>
    <col min="22" max="22" width="11.1796875" bestFit="1" customWidth="1"/>
    <col min="23" max="23" width="29.1796875" bestFit="1" customWidth="1"/>
    <col min="24" max="24" width="9.26953125" bestFit="1" customWidth="1"/>
    <col min="25" max="25" width="11.1796875" bestFit="1" customWidth="1"/>
    <col min="26" max="26" width="18.26953125" bestFit="1" customWidth="1"/>
    <col min="27" max="27" width="9.26953125" bestFit="1" customWidth="1"/>
    <col min="28" max="28" width="12.26953125" bestFit="1" customWidth="1"/>
    <col min="29" max="29" width="20.7265625" bestFit="1" customWidth="1"/>
    <col min="30" max="30" width="9.26953125" bestFit="1" customWidth="1"/>
    <col min="31" max="31" width="12.26953125" bestFit="1" customWidth="1"/>
    <col min="32" max="32" width="20.58984375" bestFit="1" customWidth="1"/>
    <col min="33" max="33" width="9.26953125" bestFit="1" customWidth="1"/>
    <col min="34" max="34" width="12.26953125" bestFit="1" customWidth="1"/>
    <col min="35" max="35" width="23.7265625" bestFit="1" customWidth="1"/>
    <col min="36" max="36" width="9.26953125" bestFit="1" customWidth="1"/>
  </cols>
  <sheetData>
    <row r="1" spans="1:36" x14ac:dyDescent="0.1">
      <c r="A1" t="s">
        <v>405</v>
      </c>
      <c r="D1" t="s">
        <v>438</v>
      </c>
      <c r="G1" t="s">
        <v>446</v>
      </c>
      <c r="J1" t="s">
        <v>464</v>
      </c>
      <c r="M1" t="s">
        <v>483</v>
      </c>
      <c r="P1" t="s">
        <v>497</v>
      </c>
      <c r="S1" t="s">
        <v>516</v>
      </c>
      <c r="V1" t="s">
        <v>531</v>
      </c>
      <c r="Y1" t="s">
        <v>545</v>
      </c>
      <c r="AB1" t="s">
        <v>562</v>
      </c>
      <c r="AE1" t="s">
        <v>579</v>
      </c>
      <c r="AH1" t="s">
        <v>588</v>
      </c>
    </row>
    <row r="2" spans="1:36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  <c r="AB2" t="s">
        <v>21</v>
      </c>
      <c r="AC2" t="s">
        <v>22</v>
      </c>
      <c r="AD2" t="s">
        <v>23</v>
      </c>
      <c r="AE2" t="s">
        <v>21</v>
      </c>
      <c r="AF2" t="s">
        <v>22</v>
      </c>
      <c r="AG2" t="s">
        <v>23</v>
      </c>
      <c r="AH2" t="s">
        <v>21</v>
      </c>
      <c r="AI2" t="s">
        <v>22</v>
      </c>
      <c r="AJ2" t="s">
        <v>23</v>
      </c>
    </row>
    <row r="3" spans="1:36" x14ac:dyDescent="0.1">
      <c r="A3" t="s">
        <v>24</v>
      </c>
      <c r="B3" t="s">
        <v>25</v>
      </c>
      <c r="C3" s="6">
        <v>0.4201388888888889</v>
      </c>
      <c r="D3" t="s">
        <v>24</v>
      </c>
      <c r="E3" t="s">
        <v>25</v>
      </c>
      <c r="F3" s="6">
        <v>0.4201388888888889</v>
      </c>
      <c r="G3" t="s">
        <v>24</v>
      </c>
      <c r="H3" t="s">
        <v>25</v>
      </c>
      <c r="I3" s="6">
        <v>0.4201388888888889</v>
      </c>
      <c r="J3" t="s">
        <v>24</v>
      </c>
      <c r="K3" t="s">
        <v>25</v>
      </c>
      <c r="L3" s="6">
        <v>0.40972222222222221</v>
      </c>
      <c r="M3" t="s">
        <v>24</v>
      </c>
      <c r="N3" t="s">
        <v>25</v>
      </c>
      <c r="O3" s="6">
        <v>0.4201388888888889</v>
      </c>
      <c r="P3" t="s">
        <v>24</v>
      </c>
      <c r="Q3" t="s">
        <v>25</v>
      </c>
      <c r="R3" s="6">
        <v>0.4201388888888889</v>
      </c>
      <c r="S3" t="s">
        <v>24</v>
      </c>
      <c r="T3" t="s">
        <v>25</v>
      </c>
      <c r="U3" s="6">
        <v>0.40972222222222221</v>
      </c>
      <c r="V3" t="s">
        <v>24</v>
      </c>
      <c r="W3" t="s">
        <v>25</v>
      </c>
      <c r="X3" s="6">
        <v>0.4201388888888889</v>
      </c>
      <c r="Y3" t="s">
        <v>24</v>
      </c>
      <c r="Z3" t="s">
        <v>25</v>
      </c>
      <c r="AA3" s="6">
        <v>0.41319444444444442</v>
      </c>
      <c r="AB3" t="s">
        <v>24</v>
      </c>
      <c r="AC3" t="s">
        <v>25</v>
      </c>
      <c r="AD3" s="6">
        <v>0.41666666666666669</v>
      </c>
      <c r="AE3" t="s">
        <v>24</v>
      </c>
      <c r="AF3" t="s">
        <v>25</v>
      </c>
      <c r="AG3" s="6">
        <v>0.40972222222222221</v>
      </c>
      <c r="AH3" t="s">
        <v>24</v>
      </c>
      <c r="AI3" t="s">
        <v>25</v>
      </c>
      <c r="AJ3" s="6">
        <v>0.40277777777777779</v>
      </c>
    </row>
    <row r="4" spans="1:36" x14ac:dyDescent="0.1">
      <c r="B4" t="s">
        <v>406</v>
      </c>
      <c r="E4" t="s">
        <v>158</v>
      </c>
      <c r="H4" t="s">
        <v>158</v>
      </c>
      <c r="K4" t="s">
        <v>406</v>
      </c>
      <c r="N4" t="s">
        <v>439</v>
      </c>
      <c r="Q4" t="s">
        <v>406</v>
      </c>
      <c r="T4" t="s">
        <v>158</v>
      </c>
      <c r="W4" t="s">
        <v>406</v>
      </c>
      <c r="Z4" t="s">
        <v>406</v>
      </c>
      <c r="AC4" t="s">
        <v>158</v>
      </c>
      <c r="AF4" t="s">
        <v>77</v>
      </c>
      <c r="AI4" t="s">
        <v>406</v>
      </c>
    </row>
    <row r="5" spans="1:36" x14ac:dyDescent="0.1">
      <c r="A5" t="s">
        <v>27</v>
      </c>
      <c r="B5" t="s">
        <v>25</v>
      </c>
      <c r="C5" s="6">
        <v>0.44097222222222221</v>
      </c>
      <c r="D5" t="s">
        <v>27</v>
      </c>
      <c r="E5" t="s">
        <v>25</v>
      </c>
      <c r="F5" s="6">
        <v>0.44097222222222221</v>
      </c>
      <c r="G5" t="s">
        <v>27</v>
      </c>
      <c r="H5" t="s">
        <v>25</v>
      </c>
      <c r="I5" s="6">
        <v>0.44444444444444442</v>
      </c>
      <c r="J5" t="s">
        <v>27</v>
      </c>
      <c r="K5" t="s">
        <v>25</v>
      </c>
      <c r="L5" s="6">
        <v>0.43055555555555558</v>
      </c>
      <c r="M5" t="s">
        <v>27</v>
      </c>
      <c r="N5" t="s">
        <v>25</v>
      </c>
      <c r="O5" s="6">
        <v>0.44444444444444442</v>
      </c>
      <c r="P5" t="s">
        <v>27</v>
      </c>
      <c r="Q5" t="s">
        <v>25</v>
      </c>
      <c r="R5" s="6">
        <v>0.44097222222222221</v>
      </c>
      <c r="S5" t="s">
        <v>27</v>
      </c>
      <c r="T5" t="s">
        <v>25</v>
      </c>
      <c r="U5" s="6">
        <v>0.43055555555555558</v>
      </c>
      <c r="V5" t="s">
        <v>27</v>
      </c>
      <c r="W5" t="s">
        <v>25</v>
      </c>
      <c r="X5" s="6">
        <v>0.44097222222222221</v>
      </c>
      <c r="Y5" t="s">
        <v>27</v>
      </c>
      <c r="Z5" t="s">
        <v>25</v>
      </c>
      <c r="AA5" s="6">
        <v>0.4375</v>
      </c>
      <c r="AB5" t="s">
        <v>27</v>
      </c>
      <c r="AC5" t="s">
        <v>25</v>
      </c>
      <c r="AD5" s="6">
        <v>0.4375</v>
      </c>
      <c r="AE5" t="s">
        <v>27</v>
      </c>
      <c r="AF5" t="s">
        <v>25</v>
      </c>
      <c r="AG5" s="6">
        <v>0.43055555555555558</v>
      </c>
      <c r="AH5" t="s">
        <v>27</v>
      </c>
      <c r="AI5" t="s">
        <v>25</v>
      </c>
      <c r="AJ5" s="6">
        <v>0.4236111111111111</v>
      </c>
    </row>
    <row r="6" spans="1:36" x14ac:dyDescent="0.1">
      <c r="B6" t="s">
        <v>77</v>
      </c>
      <c r="E6" t="s">
        <v>408</v>
      </c>
      <c r="H6" t="s">
        <v>408</v>
      </c>
      <c r="K6" t="s">
        <v>77</v>
      </c>
      <c r="N6" t="s">
        <v>407</v>
      </c>
      <c r="Q6" t="s">
        <v>77</v>
      </c>
      <c r="T6" t="s">
        <v>408</v>
      </c>
      <c r="W6" t="s">
        <v>77</v>
      </c>
      <c r="Z6" t="s">
        <v>77</v>
      </c>
      <c r="AC6" t="s">
        <v>408</v>
      </c>
      <c r="AF6" t="s">
        <v>184</v>
      </c>
      <c r="AI6" t="s">
        <v>77</v>
      </c>
    </row>
    <row r="7" spans="1:36" x14ac:dyDescent="0.1">
      <c r="A7" t="s">
        <v>30</v>
      </c>
      <c r="B7" t="s">
        <v>25</v>
      </c>
      <c r="C7" s="6">
        <v>0.46180555555555558</v>
      </c>
      <c r="D7" t="s">
        <v>30</v>
      </c>
      <c r="E7" t="s">
        <v>25</v>
      </c>
      <c r="F7" s="6">
        <v>0.46180555555555558</v>
      </c>
      <c r="G7" t="s">
        <v>30</v>
      </c>
      <c r="H7" t="s">
        <v>25</v>
      </c>
      <c r="I7" s="6">
        <v>0.46527777777777779</v>
      </c>
      <c r="J7" t="s">
        <v>30</v>
      </c>
      <c r="K7" t="s">
        <v>25</v>
      </c>
      <c r="L7" s="6">
        <v>0.4513888888888889</v>
      </c>
      <c r="M7" t="s">
        <v>30</v>
      </c>
      <c r="N7" t="s">
        <v>25</v>
      </c>
      <c r="O7" s="6">
        <v>0.46527777777777779</v>
      </c>
      <c r="P7" t="s">
        <v>30</v>
      </c>
      <c r="Q7" t="s">
        <v>25</v>
      </c>
      <c r="R7" s="6">
        <v>0.46180555555555558</v>
      </c>
      <c r="S7" t="s">
        <v>30</v>
      </c>
      <c r="T7" t="s">
        <v>25</v>
      </c>
      <c r="U7" s="6">
        <v>0.4513888888888889</v>
      </c>
      <c r="V7" t="s">
        <v>30</v>
      </c>
      <c r="W7" t="s">
        <v>25</v>
      </c>
      <c r="X7" s="6">
        <v>0.46180555555555558</v>
      </c>
      <c r="Y7" t="s">
        <v>30</v>
      </c>
      <c r="Z7" t="s">
        <v>25</v>
      </c>
      <c r="AA7" s="6">
        <v>0.45833333333333331</v>
      </c>
      <c r="AB7" t="s">
        <v>30</v>
      </c>
      <c r="AC7" t="s">
        <v>25</v>
      </c>
      <c r="AD7" s="6">
        <v>0.45833333333333331</v>
      </c>
      <c r="AE7" t="s">
        <v>30</v>
      </c>
      <c r="AF7" t="s">
        <v>25</v>
      </c>
      <c r="AG7" s="6">
        <v>0.4513888888888889</v>
      </c>
      <c r="AH7" t="s">
        <v>30</v>
      </c>
      <c r="AI7" t="s">
        <v>25</v>
      </c>
      <c r="AJ7" s="6">
        <v>0.44444444444444442</v>
      </c>
    </row>
    <row r="8" spans="1:36" x14ac:dyDescent="0.1">
      <c r="B8" t="s">
        <v>407</v>
      </c>
      <c r="E8" t="s">
        <v>439</v>
      </c>
      <c r="H8" t="s">
        <v>407</v>
      </c>
      <c r="K8" t="s">
        <v>408</v>
      </c>
      <c r="N8" t="s">
        <v>408</v>
      </c>
      <c r="Q8" t="s">
        <v>76</v>
      </c>
      <c r="T8" t="s">
        <v>439</v>
      </c>
      <c r="W8" t="s">
        <v>407</v>
      </c>
      <c r="Z8" t="s">
        <v>407</v>
      </c>
      <c r="AC8" t="s">
        <v>439</v>
      </c>
      <c r="AF8" t="s">
        <v>75</v>
      </c>
      <c r="AI8" t="s">
        <v>408</v>
      </c>
    </row>
    <row r="9" spans="1:36" x14ac:dyDescent="0.1">
      <c r="A9" t="s">
        <v>32</v>
      </c>
      <c r="B9" t="s">
        <v>25</v>
      </c>
      <c r="C9" s="6">
        <v>0.4826388888888889</v>
      </c>
      <c r="D9" t="s">
        <v>32</v>
      </c>
      <c r="E9" t="s">
        <v>25</v>
      </c>
      <c r="F9" s="6">
        <v>0.4826388888888889</v>
      </c>
      <c r="G9" t="s">
        <v>32</v>
      </c>
      <c r="H9" t="s">
        <v>25</v>
      </c>
      <c r="I9" s="6">
        <v>0.4861111111111111</v>
      </c>
      <c r="J9" t="s">
        <v>32</v>
      </c>
      <c r="K9" t="s">
        <v>25</v>
      </c>
      <c r="L9" s="6">
        <v>0.47222222222222221</v>
      </c>
      <c r="M9" t="s">
        <v>32</v>
      </c>
      <c r="N9" t="s">
        <v>25</v>
      </c>
      <c r="O9" s="6">
        <v>0.4861111111111111</v>
      </c>
      <c r="P9" t="s">
        <v>32</v>
      </c>
      <c r="Q9" t="s">
        <v>25</v>
      </c>
      <c r="R9" s="6">
        <v>0.4826388888888889</v>
      </c>
      <c r="S9" t="s">
        <v>32</v>
      </c>
      <c r="T9" t="s">
        <v>25</v>
      </c>
      <c r="U9" s="6">
        <v>0.47222222222222221</v>
      </c>
      <c r="V9" t="s">
        <v>32</v>
      </c>
      <c r="W9" t="s">
        <v>25</v>
      </c>
      <c r="X9" s="6">
        <v>0.4826388888888889</v>
      </c>
      <c r="Y9" t="s">
        <v>32</v>
      </c>
      <c r="Z9" t="s">
        <v>25</v>
      </c>
      <c r="AA9" s="6">
        <v>0.47916666666666669</v>
      </c>
      <c r="AB9" t="s">
        <v>32</v>
      </c>
      <c r="AC9" t="s">
        <v>25</v>
      </c>
      <c r="AD9" s="6">
        <v>0.47916666666666669</v>
      </c>
      <c r="AE9" t="s">
        <v>32</v>
      </c>
      <c r="AF9" t="s">
        <v>257</v>
      </c>
      <c r="AG9" s="6">
        <v>0.47222222222222221</v>
      </c>
      <c r="AH9" t="s">
        <v>32</v>
      </c>
      <c r="AI9" t="s">
        <v>25</v>
      </c>
      <c r="AJ9" s="6">
        <v>0.46527777777777779</v>
      </c>
    </row>
    <row r="10" spans="1:36" x14ac:dyDescent="0.1">
      <c r="B10" t="s">
        <v>275</v>
      </c>
      <c r="E10" t="s">
        <v>184</v>
      </c>
      <c r="H10" t="s">
        <v>29</v>
      </c>
      <c r="K10" t="s">
        <v>76</v>
      </c>
      <c r="N10" t="s">
        <v>184</v>
      </c>
      <c r="Q10" t="s">
        <v>29</v>
      </c>
      <c r="T10" t="s">
        <v>228</v>
      </c>
      <c r="W10" t="s">
        <v>65</v>
      </c>
      <c r="Z10" t="s">
        <v>76</v>
      </c>
      <c r="AC10" t="s">
        <v>217</v>
      </c>
      <c r="AF10" t="s">
        <v>580</v>
      </c>
      <c r="AI10" t="s">
        <v>76</v>
      </c>
    </row>
    <row r="11" spans="1:36" x14ac:dyDescent="0.1">
      <c r="A11" t="s">
        <v>34</v>
      </c>
      <c r="B11" t="s">
        <v>25</v>
      </c>
      <c r="C11" s="6">
        <v>0.51736111111111116</v>
      </c>
      <c r="D11" t="s">
        <v>34</v>
      </c>
      <c r="E11" t="s">
        <v>25</v>
      </c>
      <c r="F11" s="6">
        <v>0.51736111111111116</v>
      </c>
      <c r="G11" t="s">
        <v>34</v>
      </c>
      <c r="H11" t="s">
        <v>246</v>
      </c>
      <c r="I11" s="6">
        <v>0.52083333333333337</v>
      </c>
      <c r="J11" t="s">
        <v>34</v>
      </c>
      <c r="K11" t="s">
        <v>25</v>
      </c>
      <c r="L11" s="6">
        <v>0.50694444444444442</v>
      </c>
      <c r="M11" t="s">
        <v>34</v>
      </c>
      <c r="N11" t="s">
        <v>25</v>
      </c>
      <c r="O11" s="6">
        <v>0.52083333333333337</v>
      </c>
      <c r="P11" t="s">
        <v>34</v>
      </c>
      <c r="Q11" t="s">
        <v>246</v>
      </c>
      <c r="R11" s="6">
        <v>0.51736111111111116</v>
      </c>
      <c r="S11" t="s">
        <v>34</v>
      </c>
      <c r="T11" t="s">
        <v>25</v>
      </c>
      <c r="U11" s="6">
        <v>0.50694444444444442</v>
      </c>
      <c r="V11" t="s">
        <v>34</v>
      </c>
      <c r="W11" t="s">
        <v>25</v>
      </c>
      <c r="X11" s="6">
        <v>0.51736111111111116</v>
      </c>
      <c r="Y11" t="s">
        <v>34</v>
      </c>
      <c r="Z11" t="s">
        <v>25</v>
      </c>
      <c r="AA11" s="6">
        <v>0.51388888888888884</v>
      </c>
      <c r="AB11" t="s">
        <v>34</v>
      </c>
      <c r="AC11" t="s">
        <v>25</v>
      </c>
      <c r="AD11" s="6">
        <v>0.51388888888888884</v>
      </c>
      <c r="AE11" t="s">
        <v>34</v>
      </c>
      <c r="AF11" t="s">
        <v>25</v>
      </c>
      <c r="AG11" s="6">
        <v>0.50694444444444442</v>
      </c>
      <c r="AH11" t="s">
        <v>34</v>
      </c>
      <c r="AI11" t="s">
        <v>246</v>
      </c>
      <c r="AJ11" s="6">
        <v>0.50694444444444442</v>
      </c>
    </row>
    <row r="12" spans="1:36" x14ac:dyDescent="0.1">
      <c r="B12" t="s">
        <v>75</v>
      </c>
      <c r="E12" t="s">
        <v>65</v>
      </c>
      <c r="H12" t="s">
        <v>75</v>
      </c>
      <c r="K12" t="s">
        <v>65</v>
      </c>
      <c r="N12" t="s">
        <v>75</v>
      </c>
      <c r="Q12" t="s">
        <v>407</v>
      </c>
      <c r="T12" t="s">
        <v>75</v>
      </c>
      <c r="W12" t="s">
        <v>184</v>
      </c>
      <c r="Z12" t="s">
        <v>29</v>
      </c>
      <c r="AC12" t="s">
        <v>65</v>
      </c>
      <c r="AF12" t="s">
        <v>29</v>
      </c>
      <c r="AI12" t="s">
        <v>77</v>
      </c>
    </row>
    <row r="13" spans="1:36" x14ac:dyDescent="0.1">
      <c r="A13" t="s">
        <v>35</v>
      </c>
      <c r="B13" t="s">
        <v>246</v>
      </c>
      <c r="C13" s="6">
        <v>0.53819444444444442</v>
      </c>
      <c r="D13" t="s">
        <v>35</v>
      </c>
      <c r="E13" t="s">
        <v>246</v>
      </c>
      <c r="F13" s="6">
        <v>0.53819444444444442</v>
      </c>
      <c r="G13" t="s">
        <v>35</v>
      </c>
      <c r="H13" t="s">
        <v>247</v>
      </c>
      <c r="I13" s="6">
        <v>0.54166666666666663</v>
      </c>
      <c r="J13" t="s">
        <v>35</v>
      </c>
      <c r="K13" t="s">
        <v>246</v>
      </c>
      <c r="L13" s="6">
        <v>0.52777777777777779</v>
      </c>
      <c r="M13" t="s">
        <v>35</v>
      </c>
      <c r="N13" t="s">
        <v>246</v>
      </c>
      <c r="O13" s="6">
        <v>0.54166666666666663</v>
      </c>
      <c r="P13" t="s">
        <v>35</v>
      </c>
      <c r="Q13" t="s">
        <v>247</v>
      </c>
      <c r="R13" s="6">
        <v>0.53819444444444442</v>
      </c>
      <c r="S13" t="s">
        <v>35</v>
      </c>
      <c r="T13" t="s">
        <v>246</v>
      </c>
      <c r="U13" s="6">
        <v>0.52777777777777779</v>
      </c>
      <c r="V13" t="s">
        <v>35</v>
      </c>
      <c r="W13" t="s">
        <v>246</v>
      </c>
      <c r="X13" s="6">
        <v>0.53819444444444442</v>
      </c>
      <c r="Y13" t="s">
        <v>35</v>
      </c>
      <c r="Z13" t="s">
        <v>246</v>
      </c>
      <c r="AA13" s="6">
        <v>0.53472222222222221</v>
      </c>
      <c r="AB13" t="s">
        <v>35</v>
      </c>
      <c r="AC13" t="s">
        <v>246</v>
      </c>
      <c r="AD13" s="6">
        <v>0.53472222222222221</v>
      </c>
      <c r="AE13" t="s">
        <v>35</v>
      </c>
      <c r="AF13" t="s">
        <v>246</v>
      </c>
      <c r="AG13" s="6">
        <v>0.52777777777777779</v>
      </c>
      <c r="AH13" t="s">
        <v>35</v>
      </c>
      <c r="AI13" t="s">
        <v>247</v>
      </c>
      <c r="AJ13" s="6">
        <v>0.52777777777777779</v>
      </c>
    </row>
    <row r="14" spans="1:36" x14ac:dyDescent="0.1">
      <c r="B14" t="s">
        <v>408</v>
      </c>
      <c r="E14" t="s">
        <v>76</v>
      </c>
      <c r="H14" t="s">
        <v>60</v>
      </c>
      <c r="K14" t="s">
        <v>77</v>
      </c>
      <c r="N14" t="s">
        <v>65</v>
      </c>
      <c r="Q14" t="s">
        <v>111</v>
      </c>
      <c r="T14" t="s">
        <v>184</v>
      </c>
      <c r="W14" t="s">
        <v>406</v>
      </c>
      <c r="Z14" t="s">
        <v>408</v>
      </c>
      <c r="AC14" t="s">
        <v>77</v>
      </c>
      <c r="AF14" t="s">
        <v>408</v>
      </c>
      <c r="AI14" t="s">
        <v>48</v>
      </c>
    </row>
    <row r="15" spans="1:36" x14ac:dyDescent="0.1">
      <c r="A15" t="s">
        <v>38</v>
      </c>
      <c r="B15" t="s">
        <v>247</v>
      </c>
      <c r="C15" s="6">
        <v>0.55902777777777779</v>
      </c>
      <c r="D15" t="s">
        <v>38</v>
      </c>
      <c r="E15" t="s">
        <v>247</v>
      </c>
      <c r="F15" s="6">
        <v>0.55902777777777779</v>
      </c>
      <c r="G15" t="s">
        <v>38</v>
      </c>
      <c r="H15" t="s">
        <v>247</v>
      </c>
      <c r="I15" s="6">
        <v>0.5625</v>
      </c>
      <c r="J15" t="s">
        <v>38</v>
      </c>
      <c r="K15" t="s">
        <v>247</v>
      </c>
      <c r="L15" s="6">
        <v>0.54861111111111116</v>
      </c>
      <c r="M15" t="s">
        <v>38</v>
      </c>
      <c r="N15" t="s">
        <v>247</v>
      </c>
      <c r="O15" s="6">
        <v>0.5625</v>
      </c>
      <c r="P15" t="s">
        <v>38</v>
      </c>
      <c r="Q15" t="s">
        <v>247</v>
      </c>
      <c r="R15" s="6">
        <v>0.55902777777777779</v>
      </c>
      <c r="S15" t="s">
        <v>38</v>
      </c>
      <c r="T15" t="s">
        <v>246</v>
      </c>
      <c r="U15" s="6">
        <v>0.54861111111111116</v>
      </c>
      <c r="V15" t="s">
        <v>38</v>
      </c>
      <c r="W15" t="s">
        <v>246</v>
      </c>
      <c r="X15" s="6">
        <v>0.55902777777777779</v>
      </c>
      <c r="Y15" t="s">
        <v>38</v>
      </c>
      <c r="Z15" t="s">
        <v>247</v>
      </c>
      <c r="AA15" s="6">
        <v>0.55555555555555558</v>
      </c>
      <c r="AB15" t="s">
        <v>38</v>
      </c>
      <c r="AC15" t="s">
        <v>247</v>
      </c>
      <c r="AD15" s="6">
        <v>0.55555555555555558</v>
      </c>
      <c r="AE15" t="s">
        <v>38</v>
      </c>
      <c r="AF15" t="s">
        <v>246</v>
      </c>
      <c r="AG15" s="6">
        <v>0.54861111111111116</v>
      </c>
      <c r="AH15" t="s">
        <v>38</v>
      </c>
      <c r="AI15" t="s">
        <v>247</v>
      </c>
      <c r="AJ15" s="6">
        <v>0.54861111111111116</v>
      </c>
    </row>
    <row r="16" spans="1:36" x14ac:dyDescent="0.1">
      <c r="B16" t="s">
        <v>316</v>
      </c>
      <c r="E16" t="s">
        <v>414</v>
      </c>
      <c r="H16" t="s">
        <v>114</v>
      </c>
      <c r="K16" t="s">
        <v>414</v>
      </c>
      <c r="N16" t="s">
        <v>448</v>
      </c>
      <c r="Q16" t="s">
        <v>469</v>
      </c>
      <c r="T16" t="s">
        <v>77</v>
      </c>
      <c r="W16" t="s">
        <v>76</v>
      </c>
      <c r="Z16" t="s">
        <v>115</v>
      </c>
      <c r="AC16" t="s">
        <v>190</v>
      </c>
      <c r="AF16" t="s">
        <v>75</v>
      </c>
      <c r="AI16" t="s">
        <v>114</v>
      </c>
    </row>
    <row r="17" spans="1:36" x14ac:dyDescent="0.1">
      <c r="A17" t="s">
        <v>40</v>
      </c>
      <c r="B17" t="s">
        <v>247</v>
      </c>
      <c r="C17" s="6">
        <v>0.57986111111111116</v>
      </c>
      <c r="D17" t="s">
        <v>40</v>
      </c>
      <c r="E17" t="s">
        <v>254</v>
      </c>
      <c r="F17" s="6">
        <v>0.57986111111111116</v>
      </c>
      <c r="G17" t="s">
        <v>40</v>
      </c>
      <c r="H17" t="s">
        <v>254</v>
      </c>
      <c r="I17" s="6">
        <v>0.58333333333333337</v>
      </c>
      <c r="J17" t="s">
        <v>40</v>
      </c>
      <c r="K17" t="s">
        <v>254</v>
      </c>
      <c r="L17" s="6">
        <v>0.56944444444444442</v>
      </c>
      <c r="M17" t="s">
        <v>40</v>
      </c>
      <c r="N17" t="s">
        <v>254</v>
      </c>
      <c r="O17" s="6">
        <v>0.58333333333333337</v>
      </c>
      <c r="P17" t="s">
        <v>40</v>
      </c>
      <c r="Q17" t="s">
        <v>254</v>
      </c>
      <c r="R17" s="6">
        <v>0.57986111111111116</v>
      </c>
      <c r="S17" t="s">
        <v>40</v>
      </c>
      <c r="T17" t="s">
        <v>247</v>
      </c>
      <c r="U17" s="6">
        <v>0.57291666666666663</v>
      </c>
      <c r="V17" t="s">
        <v>40</v>
      </c>
      <c r="W17" t="s">
        <v>247</v>
      </c>
      <c r="X17" s="6">
        <v>0.57986111111111116</v>
      </c>
      <c r="Y17" t="s">
        <v>40</v>
      </c>
      <c r="Z17" t="s">
        <v>247</v>
      </c>
      <c r="AA17" s="6">
        <v>0.57638888888888884</v>
      </c>
      <c r="AB17" t="s">
        <v>40</v>
      </c>
      <c r="AC17" t="s">
        <v>563</v>
      </c>
      <c r="AD17" s="6">
        <v>0.57638888888888884</v>
      </c>
      <c r="AE17" t="s">
        <v>40</v>
      </c>
      <c r="AF17" t="s">
        <v>247</v>
      </c>
      <c r="AG17" s="6">
        <v>0.56944444444444442</v>
      </c>
      <c r="AH17" t="s">
        <v>40</v>
      </c>
      <c r="AI17" t="s">
        <v>589</v>
      </c>
      <c r="AJ17" s="6">
        <v>0.57291666666666663</v>
      </c>
    </row>
    <row r="18" spans="1:36" x14ac:dyDescent="0.1">
      <c r="B18" t="s">
        <v>115</v>
      </c>
      <c r="E18" t="s">
        <v>330</v>
      </c>
      <c r="H18" t="s">
        <v>190</v>
      </c>
      <c r="K18" t="s">
        <v>115</v>
      </c>
      <c r="N18" t="s">
        <v>60</v>
      </c>
      <c r="Q18" t="s">
        <v>111</v>
      </c>
      <c r="T18" t="s">
        <v>414</v>
      </c>
      <c r="W18" t="s">
        <v>48</v>
      </c>
      <c r="Z18" t="s">
        <v>114</v>
      </c>
      <c r="AC18" t="s">
        <v>254</v>
      </c>
      <c r="AF18" t="s">
        <v>414</v>
      </c>
      <c r="AI18" t="s">
        <v>254</v>
      </c>
    </row>
    <row r="19" spans="1:36" x14ac:dyDescent="0.1">
      <c r="A19" t="s">
        <v>42</v>
      </c>
      <c r="B19" t="s">
        <v>409</v>
      </c>
      <c r="C19" s="6">
        <v>0.60069444444444442</v>
      </c>
      <c r="D19" t="s">
        <v>42</v>
      </c>
      <c r="E19" t="s">
        <v>440</v>
      </c>
      <c r="F19" s="6">
        <v>0.60069444444444442</v>
      </c>
      <c r="G19" t="s">
        <v>42</v>
      </c>
      <c r="H19" t="s">
        <v>447</v>
      </c>
      <c r="I19" s="6">
        <v>0.60416666666666663</v>
      </c>
      <c r="J19" t="s">
        <v>42</v>
      </c>
      <c r="K19" t="s">
        <v>465</v>
      </c>
      <c r="L19" s="6">
        <v>0.59375</v>
      </c>
      <c r="M19" t="s">
        <v>42</v>
      </c>
      <c r="N19" t="s">
        <v>484</v>
      </c>
      <c r="O19" s="6">
        <v>0.60416666666666663</v>
      </c>
      <c r="P19" t="s">
        <v>42</v>
      </c>
      <c r="Q19" t="s">
        <v>498</v>
      </c>
      <c r="R19" s="6">
        <v>0.60069444444444442</v>
      </c>
      <c r="S19" t="s">
        <v>42</v>
      </c>
      <c r="T19" t="s">
        <v>517</v>
      </c>
      <c r="U19" s="6">
        <v>0.59722222222222221</v>
      </c>
      <c r="V19" t="s">
        <v>42</v>
      </c>
      <c r="W19" t="s">
        <v>532</v>
      </c>
      <c r="X19" s="6">
        <v>0.60069444444444442</v>
      </c>
      <c r="Y19" t="s">
        <v>42</v>
      </c>
      <c r="Z19" t="s">
        <v>546</v>
      </c>
      <c r="AA19" s="6">
        <v>0.59722222222222221</v>
      </c>
      <c r="AC19" t="s">
        <v>414</v>
      </c>
      <c r="AE19" t="s">
        <v>42</v>
      </c>
      <c r="AF19" t="s">
        <v>581</v>
      </c>
      <c r="AG19" s="6">
        <v>0.59375</v>
      </c>
      <c r="AI19" t="s">
        <v>190</v>
      </c>
    </row>
    <row r="20" spans="1:36" x14ac:dyDescent="0.1">
      <c r="B20" t="s">
        <v>254</v>
      </c>
      <c r="E20" t="s">
        <v>250</v>
      </c>
      <c r="H20" t="s">
        <v>250</v>
      </c>
      <c r="K20" t="s">
        <v>250</v>
      </c>
      <c r="N20" t="s">
        <v>250</v>
      </c>
      <c r="Q20" t="s">
        <v>254</v>
      </c>
      <c r="T20" t="s">
        <v>254</v>
      </c>
      <c r="W20" t="s">
        <v>254</v>
      </c>
      <c r="Z20" t="s">
        <v>246</v>
      </c>
      <c r="AB20" t="s">
        <v>42</v>
      </c>
      <c r="AC20" t="s">
        <v>564</v>
      </c>
      <c r="AD20" s="6">
        <v>0.60069444444444442</v>
      </c>
      <c r="AF20" t="s">
        <v>254</v>
      </c>
      <c r="AH20" t="s">
        <v>42</v>
      </c>
      <c r="AI20" t="s">
        <v>590</v>
      </c>
      <c r="AJ20" s="6">
        <v>0.59722222222222221</v>
      </c>
    </row>
    <row r="21" spans="1:36" x14ac:dyDescent="0.1">
      <c r="B21" t="s">
        <v>48</v>
      </c>
      <c r="E21" t="s">
        <v>321</v>
      </c>
      <c r="H21" t="s">
        <v>448</v>
      </c>
      <c r="K21" t="s">
        <v>60</v>
      </c>
      <c r="N21" t="s">
        <v>115</v>
      </c>
      <c r="Q21" t="s">
        <v>448</v>
      </c>
      <c r="T21" t="s">
        <v>58</v>
      </c>
      <c r="W21" t="s">
        <v>115</v>
      </c>
      <c r="Z21" t="s">
        <v>275</v>
      </c>
      <c r="AC21" t="s">
        <v>254</v>
      </c>
      <c r="AF21" t="s">
        <v>114</v>
      </c>
      <c r="AI21" t="s">
        <v>250</v>
      </c>
    </row>
    <row r="22" spans="1:36" x14ac:dyDescent="0.1">
      <c r="A22" t="s">
        <v>46</v>
      </c>
      <c r="B22" t="s">
        <v>410</v>
      </c>
      <c r="C22" s="6">
        <v>0.625</v>
      </c>
      <c r="D22" t="s">
        <v>46</v>
      </c>
      <c r="E22" t="s">
        <v>441</v>
      </c>
      <c r="F22" s="6">
        <v>0.625</v>
      </c>
      <c r="G22" s="42" t="s">
        <v>46</v>
      </c>
      <c r="H22" s="42" t="s">
        <v>449</v>
      </c>
      <c r="I22" s="43">
        <v>0.62847222222222221</v>
      </c>
      <c r="J22" t="s">
        <v>46</v>
      </c>
      <c r="K22" t="s">
        <v>466</v>
      </c>
      <c r="L22" s="6">
        <v>0.61805555555555558</v>
      </c>
      <c r="M22" t="s">
        <v>46</v>
      </c>
      <c r="N22" t="s">
        <v>485</v>
      </c>
      <c r="O22" s="6">
        <v>0.62847222222222221</v>
      </c>
      <c r="P22" t="s">
        <v>46</v>
      </c>
      <c r="Q22" t="s">
        <v>499</v>
      </c>
      <c r="R22" s="6">
        <v>0.625</v>
      </c>
      <c r="S22" t="s">
        <v>46</v>
      </c>
      <c r="T22" t="s">
        <v>518</v>
      </c>
      <c r="U22" s="6">
        <v>0.62152777777777779</v>
      </c>
      <c r="V22" t="s">
        <v>46</v>
      </c>
      <c r="W22" t="s">
        <v>533</v>
      </c>
      <c r="X22" s="6">
        <v>0.625</v>
      </c>
      <c r="Y22" t="s">
        <v>46</v>
      </c>
      <c r="Z22" t="s">
        <v>547</v>
      </c>
      <c r="AA22" s="6">
        <v>0.62152777777777779</v>
      </c>
      <c r="AC22" t="s">
        <v>565</v>
      </c>
      <c r="AE22" t="s">
        <v>46</v>
      </c>
      <c r="AF22" t="s">
        <v>582</v>
      </c>
      <c r="AG22" s="6">
        <v>0.61805555555555558</v>
      </c>
      <c r="AI22" t="s">
        <v>414</v>
      </c>
    </row>
    <row r="23" spans="1:36" x14ac:dyDescent="0.1">
      <c r="B23" t="s">
        <v>250</v>
      </c>
      <c r="E23" t="s">
        <v>264</v>
      </c>
      <c r="G23" s="42"/>
      <c r="H23" s="42" t="s">
        <v>445</v>
      </c>
      <c r="I23" s="42"/>
      <c r="K23" t="s">
        <v>264</v>
      </c>
      <c r="N23" t="s">
        <v>225</v>
      </c>
      <c r="Q23" t="s">
        <v>264</v>
      </c>
      <c r="T23" t="s">
        <v>254</v>
      </c>
      <c r="W23" t="s">
        <v>254</v>
      </c>
      <c r="Z23" t="s">
        <v>254</v>
      </c>
      <c r="AB23" t="s">
        <v>46</v>
      </c>
      <c r="AC23" t="s">
        <v>566</v>
      </c>
      <c r="AD23" s="6">
        <v>0.625</v>
      </c>
      <c r="AF23" t="s">
        <v>254</v>
      </c>
      <c r="AH23" t="s">
        <v>46</v>
      </c>
      <c r="AI23" t="s">
        <v>591</v>
      </c>
      <c r="AJ23" s="6">
        <v>0.62152777777777779</v>
      </c>
    </row>
    <row r="24" spans="1:36" x14ac:dyDescent="0.1">
      <c r="B24" t="s">
        <v>114</v>
      </c>
      <c r="E24" t="s">
        <v>442</v>
      </c>
      <c r="G24" s="42"/>
      <c r="H24" s="42" t="s">
        <v>225</v>
      </c>
      <c r="I24" s="42"/>
      <c r="K24" t="s">
        <v>467</v>
      </c>
      <c r="N24" t="s">
        <v>486</v>
      </c>
      <c r="Q24" t="s">
        <v>500</v>
      </c>
      <c r="T24" t="s">
        <v>114</v>
      </c>
      <c r="W24" t="s">
        <v>442</v>
      </c>
      <c r="Z24" t="s">
        <v>111</v>
      </c>
      <c r="AC24" t="s">
        <v>250</v>
      </c>
      <c r="AF24" t="s">
        <v>115</v>
      </c>
      <c r="AI24" t="s">
        <v>250</v>
      </c>
    </row>
    <row r="25" spans="1:36" x14ac:dyDescent="0.1">
      <c r="A25" s="42" t="s">
        <v>49</v>
      </c>
      <c r="B25" s="42" t="s">
        <v>411</v>
      </c>
      <c r="C25" s="43">
        <v>0.65625</v>
      </c>
      <c r="D25" s="42" t="s">
        <v>49</v>
      </c>
      <c r="E25" s="42" t="s">
        <v>443</v>
      </c>
      <c r="F25" s="43">
        <v>0.65625</v>
      </c>
      <c r="G25" s="42"/>
      <c r="H25" s="42" t="s">
        <v>275</v>
      </c>
      <c r="I25" s="42"/>
      <c r="J25" s="42" t="s">
        <v>49</v>
      </c>
      <c r="K25" s="42" t="s">
        <v>468</v>
      </c>
      <c r="L25" s="43">
        <v>0.64236111111111116</v>
      </c>
      <c r="M25" t="s">
        <v>49</v>
      </c>
      <c r="N25" t="s">
        <v>487</v>
      </c>
      <c r="O25" s="6">
        <v>0.65625</v>
      </c>
      <c r="P25" t="s">
        <v>49</v>
      </c>
      <c r="Q25" t="s">
        <v>501</v>
      </c>
      <c r="R25" s="6">
        <v>0.65277777777777779</v>
      </c>
      <c r="S25" t="s">
        <v>49</v>
      </c>
      <c r="T25" t="s">
        <v>519</v>
      </c>
      <c r="U25" s="6">
        <v>0.64583333333333337</v>
      </c>
      <c r="V25" t="s">
        <v>49</v>
      </c>
      <c r="W25" t="s">
        <v>534</v>
      </c>
      <c r="X25" s="6">
        <v>0.65277777777777779</v>
      </c>
      <c r="Y25" t="s">
        <v>49</v>
      </c>
      <c r="Z25" t="s">
        <v>548</v>
      </c>
      <c r="AA25" s="6">
        <v>0.64583333333333337</v>
      </c>
      <c r="AC25" t="s">
        <v>111</v>
      </c>
      <c r="AE25" t="s">
        <v>49</v>
      </c>
      <c r="AF25" t="s">
        <v>583</v>
      </c>
      <c r="AG25" s="6">
        <v>0.64583333333333337</v>
      </c>
      <c r="AI25" t="s">
        <v>565</v>
      </c>
    </row>
    <row r="26" spans="1:36" x14ac:dyDescent="0.1">
      <c r="A26" s="42"/>
      <c r="B26" s="42" t="s">
        <v>412</v>
      </c>
      <c r="C26" s="42"/>
      <c r="D26" s="42"/>
      <c r="E26" s="42" t="s">
        <v>444</v>
      </c>
      <c r="F26" s="42"/>
      <c r="G26" t="s">
        <v>49</v>
      </c>
      <c r="H26" t="s">
        <v>450</v>
      </c>
      <c r="I26" s="6">
        <v>0.65625</v>
      </c>
      <c r="J26" s="42"/>
      <c r="K26" s="42" t="s">
        <v>413</v>
      </c>
      <c r="L26" s="42"/>
      <c r="N26" t="s">
        <v>264</v>
      </c>
      <c r="Q26" t="s">
        <v>225</v>
      </c>
      <c r="T26" t="s">
        <v>250</v>
      </c>
      <c r="W26" t="s">
        <v>264</v>
      </c>
      <c r="Z26" t="s">
        <v>264</v>
      </c>
      <c r="AB26" s="42" t="s">
        <v>49</v>
      </c>
      <c r="AC26" s="42" t="s">
        <v>567</v>
      </c>
      <c r="AD26" s="43">
        <v>0.65277777777777779</v>
      </c>
      <c r="AF26" t="s">
        <v>264</v>
      </c>
      <c r="AH26" s="42" t="s">
        <v>49</v>
      </c>
      <c r="AI26" s="42" t="s">
        <v>592</v>
      </c>
      <c r="AJ26" s="43">
        <v>0.65277777777777779</v>
      </c>
    </row>
    <row r="27" spans="1:36" x14ac:dyDescent="0.1">
      <c r="A27" s="42"/>
      <c r="B27" s="42" t="s">
        <v>413</v>
      </c>
      <c r="C27" s="42"/>
      <c r="D27" s="42"/>
      <c r="E27" s="42" t="s">
        <v>445</v>
      </c>
      <c r="F27" s="42"/>
      <c r="H27" t="s">
        <v>264</v>
      </c>
      <c r="J27" s="42"/>
      <c r="K27" s="42" t="s">
        <v>225</v>
      </c>
      <c r="L27" s="42"/>
      <c r="N27" t="s">
        <v>194</v>
      </c>
      <c r="Q27" t="s">
        <v>502</v>
      </c>
      <c r="T27" t="s">
        <v>190</v>
      </c>
      <c r="W27" t="s">
        <v>325</v>
      </c>
      <c r="Z27" t="s">
        <v>366</v>
      </c>
      <c r="AB27" s="42"/>
      <c r="AC27" s="42" t="s">
        <v>568</v>
      </c>
      <c r="AD27" s="42"/>
      <c r="AF27" t="s">
        <v>486</v>
      </c>
      <c r="AH27" s="42"/>
      <c r="AI27" s="42" t="s">
        <v>593</v>
      </c>
      <c r="AJ27" s="42"/>
    </row>
    <row r="28" spans="1:36" x14ac:dyDescent="0.1">
      <c r="A28" s="42"/>
      <c r="B28" s="42" t="s">
        <v>225</v>
      </c>
      <c r="C28" s="42"/>
      <c r="D28" s="42"/>
      <c r="E28" s="42" t="s">
        <v>225</v>
      </c>
      <c r="F28" s="42"/>
      <c r="H28" t="s">
        <v>169</v>
      </c>
      <c r="J28" s="42"/>
      <c r="K28" s="42" t="s">
        <v>29</v>
      </c>
      <c r="L28" s="42"/>
      <c r="M28" t="s">
        <v>53</v>
      </c>
      <c r="N28" t="s">
        <v>254</v>
      </c>
      <c r="O28" s="6">
        <v>0.6875</v>
      </c>
      <c r="P28" t="s">
        <v>53</v>
      </c>
      <c r="Q28" t="s">
        <v>503</v>
      </c>
      <c r="R28" s="6">
        <v>0.6875</v>
      </c>
      <c r="S28" t="s">
        <v>53</v>
      </c>
      <c r="T28" t="s">
        <v>247</v>
      </c>
      <c r="U28" s="6">
        <v>0.67361111111111116</v>
      </c>
      <c r="V28" t="s">
        <v>53</v>
      </c>
      <c r="W28" t="s">
        <v>535</v>
      </c>
      <c r="X28" s="6">
        <v>0.6875</v>
      </c>
      <c r="Y28" t="s">
        <v>53</v>
      </c>
      <c r="Z28" t="s">
        <v>254</v>
      </c>
      <c r="AA28" s="6">
        <v>0.67361111111111116</v>
      </c>
      <c r="AB28" s="42"/>
      <c r="AC28" s="42" t="s">
        <v>225</v>
      </c>
      <c r="AD28" s="42"/>
      <c r="AE28" t="s">
        <v>53</v>
      </c>
      <c r="AF28" t="s">
        <v>254</v>
      </c>
      <c r="AG28" s="6">
        <v>0.67361111111111116</v>
      </c>
      <c r="AH28" s="42"/>
      <c r="AI28" s="42" t="s">
        <v>225</v>
      </c>
      <c r="AJ28" s="42"/>
    </row>
    <row r="29" spans="1:36" x14ac:dyDescent="0.1">
      <c r="A29" s="42"/>
      <c r="B29" s="42" t="s">
        <v>184</v>
      </c>
      <c r="C29" s="42"/>
      <c r="D29" s="42"/>
      <c r="E29" s="42" t="s">
        <v>228</v>
      </c>
      <c r="F29" s="42"/>
      <c r="G29" t="s">
        <v>53</v>
      </c>
      <c r="H29" t="s">
        <v>254</v>
      </c>
      <c r="I29" s="6">
        <v>0.6875</v>
      </c>
      <c r="J29" t="s">
        <v>53</v>
      </c>
      <c r="K29" t="s">
        <v>254</v>
      </c>
      <c r="L29" s="6">
        <v>0.67361111111111116</v>
      </c>
      <c r="N29" t="s">
        <v>316</v>
      </c>
      <c r="Q29" t="s">
        <v>250</v>
      </c>
      <c r="T29" t="s">
        <v>520</v>
      </c>
      <c r="W29" t="s">
        <v>250</v>
      </c>
      <c r="Z29" t="s">
        <v>520</v>
      </c>
      <c r="AB29" s="42"/>
      <c r="AC29" s="42" t="s">
        <v>569</v>
      </c>
      <c r="AD29" s="42"/>
      <c r="AF29" t="s">
        <v>448</v>
      </c>
      <c r="AH29" s="42"/>
      <c r="AI29" s="42" t="s">
        <v>594</v>
      </c>
      <c r="AJ29" s="42"/>
    </row>
    <row r="30" spans="1:36" x14ac:dyDescent="0.1">
      <c r="A30" t="s">
        <v>53</v>
      </c>
      <c r="B30" t="s">
        <v>254</v>
      </c>
      <c r="C30" s="6">
        <v>0.6875</v>
      </c>
      <c r="D30" t="s">
        <v>53</v>
      </c>
      <c r="E30" t="s">
        <v>254</v>
      </c>
      <c r="F30" s="6">
        <v>0.6875</v>
      </c>
      <c r="H30" t="s">
        <v>414</v>
      </c>
      <c r="K30" t="s">
        <v>469</v>
      </c>
      <c r="Q30" t="s">
        <v>442</v>
      </c>
      <c r="W30" t="s">
        <v>114</v>
      </c>
      <c r="AB30" t="s">
        <v>53</v>
      </c>
      <c r="AC30" t="s">
        <v>570</v>
      </c>
      <c r="AD30" s="6">
        <v>0.6875</v>
      </c>
      <c r="AH30" t="s">
        <v>53</v>
      </c>
      <c r="AI30" t="s">
        <v>595</v>
      </c>
      <c r="AJ30" s="6">
        <v>0.70833333333333337</v>
      </c>
    </row>
    <row r="31" spans="1:36" x14ac:dyDescent="0.1">
      <c r="B31" t="s">
        <v>414</v>
      </c>
      <c r="E31" t="s">
        <v>114</v>
      </c>
      <c r="AC31" t="s">
        <v>250</v>
      </c>
      <c r="AI31" t="s">
        <v>596</v>
      </c>
    </row>
    <row r="32" spans="1:36" x14ac:dyDescent="0.1">
      <c r="AC32" t="s">
        <v>467</v>
      </c>
      <c r="AI32" t="s">
        <v>264</v>
      </c>
    </row>
    <row r="33" spans="35:35" x14ac:dyDescent="0.1">
      <c r="AI33" t="s">
        <v>597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F7D9-AFB1-4D3C-B7A8-3437BABC8B19}">
  <sheetPr codeName="Sheet16"/>
  <dimension ref="A1:AJ32"/>
  <sheetViews>
    <sheetView zoomScaleNormal="100" zoomScaleSheetLayoutView="100" workbookViewId="0"/>
  </sheetViews>
  <sheetFormatPr defaultRowHeight="13.5" x14ac:dyDescent="0.1"/>
  <cols>
    <col min="1" max="1" width="11.1796875" bestFit="1" customWidth="1"/>
    <col min="2" max="2" width="20.1796875" bestFit="1" customWidth="1"/>
    <col min="3" max="3" width="9.26953125" bestFit="1" customWidth="1"/>
    <col min="4" max="4" width="11.1796875" bestFit="1" customWidth="1"/>
    <col min="5" max="5" width="32.04296875" bestFit="1" customWidth="1"/>
    <col min="6" max="6" width="9.26953125" bestFit="1" customWidth="1"/>
    <col min="7" max="7" width="11.1796875" bestFit="1" customWidth="1"/>
    <col min="8" max="8" width="32.7265625" bestFit="1" customWidth="1"/>
    <col min="9" max="9" width="9.26953125" bestFit="1" customWidth="1"/>
    <col min="10" max="10" width="11.1796875" bestFit="1" customWidth="1"/>
    <col min="11" max="11" width="25.49609375" bestFit="1" customWidth="1"/>
    <col min="12" max="12" width="9.26953125" bestFit="1" customWidth="1"/>
    <col min="13" max="13" width="11.1796875" bestFit="1" customWidth="1"/>
    <col min="14" max="14" width="24.26953125" bestFit="1" customWidth="1"/>
    <col min="15" max="15" width="9.26953125" bestFit="1" customWidth="1"/>
    <col min="16" max="16" width="11.1796875" bestFit="1" customWidth="1"/>
    <col min="17" max="17" width="18.81640625" bestFit="1" customWidth="1"/>
    <col min="18" max="18" width="9.26953125" bestFit="1" customWidth="1"/>
    <col min="19" max="19" width="11.1796875" bestFit="1" customWidth="1"/>
    <col min="20" max="20" width="31.2265625" bestFit="1" customWidth="1"/>
    <col min="21" max="21" width="9.26953125" bestFit="1" customWidth="1"/>
    <col min="22" max="22" width="11.1796875" bestFit="1" customWidth="1"/>
    <col min="23" max="23" width="18.81640625" bestFit="1" customWidth="1"/>
    <col min="24" max="24" width="9.26953125" bestFit="1" customWidth="1"/>
    <col min="25" max="25" width="11.1796875" bestFit="1" customWidth="1"/>
    <col min="26" max="26" width="27.54296875" bestFit="1" customWidth="1"/>
    <col min="27" max="27" width="9.26953125" bestFit="1" customWidth="1"/>
    <col min="28" max="28" width="12.26953125" bestFit="1" customWidth="1"/>
    <col min="29" max="29" width="20.04296875" bestFit="1" customWidth="1"/>
    <col min="30" max="30" width="9.26953125" bestFit="1" customWidth="1"/>
    <col min="31" max="31" width="12.26953125" bestFit="1" customWidth="1"/>
    <col min="32" max="32" width="24.26953125" bestFit="1" customWidth="1"/>
    <col min="33" max="33" width="9.26953125" bestFit="1" customWidth="1"/>
    <col min="34" max="34" width="12.26953125" bestFit="1" customWidth="1"/>
    <col min="35" max="35" width="20.1796875" bestFit="1" customWidth="1"/>
    <col min="36" max="36" width="9.26953125" bestFit="1" customWidth="1"/>
  </cols>
  <sheetData>
    <row r="1" spans="1:36" x14ac:dyDescent="0.1">
      <c r="A1" t="s">
        <v>415</v>
      </c>
      <c r="D1" t="s">
        <v>433</v>
      </c>
      <c r="G1" t="s">
        <v>451</v>
      </c>
      <c r="J1" t="s">
        <v>470</v>
      </c>
      <c r="M1" t="s">
        <v>488</v>
      </c>
      <c r="P1" t="s">
        <v>504</v>
      </c>
      <c r="S1" t="s">
        <v>521</v>
      </c>
      <c r="V1" t="s">
        <v>536</v>
      </c>
      <c r="Y1" t="s">
        <v>549</v>
      </c>
      <c r="AB1" t="s">
        <v>571</v>
      </c>
      <c r="AE1" t="s">
        <v>584</v>
      </c>
      <c r="AH1" t="s">
        <v>598</v>
      </c>
    </row>
    <row r="2" spans="1:36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  <c r="AB2" t="s">
        <v>21</v>
      </c>
      <c r="AC2" t="s">
        <v>22</v>
      </c>
      <c r="AD2" t="s">
        <v>23</v>
      </c>
      <c r="AE2" t="s">
        <v>21</v>
      </c>
      <c r="AF2" t="s">
        <v>22</v>
      </c>
      <c r="AG2" t="s">
        <v>23</v>
      </c>
      <c r="AH2" t="s">
        <v>21</v>
      </c>
      <c r="AI2" t="s">
        <v>22</v>
      </c>
      <c r="AJ2" t="s">
        <v>23</v>
      </c>
    </row>
    <row r="3" spans="1:36" x14ac:dyDescent="0.1">
      <c r="A3" t="s">
        <v>24</v>
      </c>
      <c r="B3" t="s">
        <v>25</v>
      </c>
      <c r="C3" s="6">
        <v>0.41319444444444442</v>
      </c>
      <c r="D3" t="s">
        <v>24</v>
      </c>
      <c r="E3" t="s">
        <v>25</v>
      </c>
      <c r="F3" s="6">
        <v>0.41319444444444442</v>
      </c>
      <c r="G3" t="s">
        <v>24</v>
      </c>
      <c r="H3" t="s">
        <v>25</v>
      </c>
      <c r="I3" s="6">
        <v>0.41319444444444442</v>
      </c>
      <c r="J3" t="s">
        <v>24</v>
      </c>
      <c r="K3" t="s">
        <v>25</v>
      </c>
      <c r="L3" s="6">
        <v>0.41666666666666669</v>
      </c>
      <c r="M3" t="s">
        <v>24</v>
      </c>
      <c r="N3" t="s">
        <v>25</v>
      </c>
      <c r="O3" s="6">
        <v>0.41319444444444442</v>
      </c>
      <c r="P3" t="s">
        <v>24</v>
      </c>
      <c r="Q3" t="s">
        <v>25</v>
      </c>
      <c r="R3" s="6">
        <v>0.41319444444444442</v>
      </c>
      <c r="S3" t="s">
        <v>24</v>
      </c>
      <c r="T3" t="s">
        <v>25</v>
      </c>
      <c r="U3" s="6">
        <v>0.40625</v>
      </c>
      <c r="V3" t="s">
        <v>24</v>
      </c>
      <c r="W3" t="s">
        <v>25</v>
      </c>
      <c r="X3" s="6">
        <v>0.41319444444444442</v>
      </c>
      <c r="Y3" t="s">
        <v>24</v>
      </c>
      <c r="Z3" t="s">
        <v>25</v>
      </c>
      <c r="AA3" s="6">
        <v>0.4201388888888889</v>
      </c>
      <c r="AB3" t="s">
        <v>24</v>
      </c>
      <c r="AC3" t="s">
        <v>25</v>
      </c>
      <c r="AD3" s="6">
        <v>0.40972222222222221</v>
      </c>
      <c r="AE3" t="s">
        <v>24</v>
      </c>
      <c r="AF3" t="s">
        <v>25</v>
      </c>
      <c r="AG3" s="6">
        <v>0.4201388888888889</v>
      </c>
      <c r="AH3" t="s">
        <v>24</v>
      </c>
      <c r="AI3" t="s">
        <v>25</v>
      </c>
      <c r="AJ3" s="6">
        <v>0.41319444444444442</v>
      </c>
    </row>
    <row r="4" spans="1:36" x14ac:dyDescent="0.1">
      <c r="B4" t="s">
        <v>89</v>
      </c>
      <c r="E4" t="s">
        <v>222</v>
      </c>
      <c r="H4" t="s">
        <v>122</v>
      </c>
      <c r="K4" t="s">
        <v>158</v>
      </c>
      <c r="N4" t="s">
        <v>77</v>
      </c>
      <c r="Q4" t="s">
        <v>84</v>
      </c>
      <c r="T4" t="s">
        <v>158</v>
      </c>
      <c r="W4" t="s">
        <v>84</v>
      </c>
      <c r="Z4" t="s">
        <v>122</v>
      </c>
      <c r="AC4" t="s">
        <v>84</v>
      </c>
      <c r="AF4" t="s">
        <v>77</v>
      </c>
      <c r="AI4" t="s">
        <v>84</v>
      </c>
    </row>
    <row r="5" spans="1:36" x14ac:dyDescent="0.1">
      <c r="A5" t="s">
        <v>27</v>
      </c>
      <c r="B5" t="s">
        <v>25</v>
      </c>
      <c r="C5" s="6">
        <v>0.43402777777777779</v>
      </c>
      <c r="D5" t="s">
        <v>27</v>
      </c>
      <c r="E5" t="s">
        <v>25</v>
      </c>
      <c r="F5" s="6">
        <v>0.43402777777777779</v>
      </c>
      <c r="G5" t="s">
        <v>27</v>
      </c>
      <c r="H5" t="s">
        <v>25</v>
      </c>
      <c r="I5" s="6">
        <v>0.4375</v>
      </c>
      <c r="J5" t="s">
        <v>27</v>
      </c>
      <c r="K5" t="s">
        <v>25</v>
      </c>
      <c r="L5" s="6">
        <v>0.4375</v>
      </c>
      <c r="M5" t="s">
        <v>27</v>
      </c>
      <c r="N5" t="s">
        <v>25</v>
      </c>
      <c r="O5" s="6">
        <v>0.4375</v>
      </c>
      <c r="P5" t="s">
        <v>27</v>
      </c>
      <c r="Q5" t="s">
        <v>25</v>
      </c>
      <c r="R5" s="6">
        <v>0.43402777777777779</v>
      </c>
      <c r="S5" t="s">
        <v>27</v>
      </c>
      <c r="T5" t="s">
        <v>25</v>
      </c>
      <c r="U5" s="6">
        <v>0.4236111111111111</v>
      </c>
      <c r="V5" t="s">
        <v>27</v>
      </c>
      <c r="W5" t="s">
        <v>25</v>
      </c>
      <c r="X5" s="6">
        <v>0.43402777777777779</v>
      </c>
      <c r="Y5" t="s">
        <v>27</v>
      </c>
      <c r="Z5" t="s">
        <v>25</v>
      </c>
      <c r="AA5" s="6">
        <v>0.44444444444444442</v>
      </c>
      <c r="AB5" t="s">
        <v>27</v>
      </c>
      <c r="AC5" t="s">
        <v>25</v>
      </c>
      <c r="AD5" s="6">
        <v>0.43055555555555558</v>
      </c>
      <c r="AE5" t="s">
        <v>27</v>
      </c>
      <c r="AF5" t="s">
        <v>25</v>
      </c>
      <c r="AG5" s="6">
        <v>0.44097222222222221</v>
      </c>
      <c r="AH5" t="s">
        <v>27</v>
      </c>
      <c r="AI5" t="s">
        <v>25</v>
      </c>
      <c r="AJ5" s="6">
        <v>0.43402777777777779</v>
      </c>
    </row>
    <row r="6" spans="1:36" x14ac:dyDescent="0.1">
      <c r="B6" t="s">
        <v>77</v>
      </c>
      <c r="E6" t="s">
        <v>89</v>
      </c>
      <c r="H6" t="s">
        <v>89</v>
      </c>
      <c r="K6" t="s">
        <v>134</v>
      </c>
      <c r="N6" t="s">
        <v>89</v>
      </c>
      <c r="Q6" t="s">
        <v>122</v>
      </c>
      <c r="T6" t="s">
        <v>89</v>
      </c>
      <c r="W6" t="s">
        <v>77</v>
      </c>
      <c r="Z6" t="s">
        <v>89</v>
      </c>
      <c r="AC6" t="s">
        <v>134</v>
      </c>
      <c r="AF6" t="s">
        <v>89</v>
      </c>
      <c r="AI6" t="s">
        <v>122</v>
      </c>
    </row>
    <row r="7" spans="1:36" x14ac:dyDescent="0.1">
      <c r="A7" t="s">
        <v>30</v>
      </c>
      <c r="B7" t="s">
        <v>25</v>
      </c>
      <c r="C7" s="6">
        <v>0.4548611111111111</v>
      </c>
      <c r="D7" t="s">
        <v>30</v>
      </c>
      <c r="E7" t="s">
        <v>25</v>
      </c>
      <c r="F7" s="6">
        <v>0.4548611111111111</v>
      </c>
      <c r="G7" t="s">
        <v>30</v>
      </c>
      <c r="H7" t="s">
        <v>25</v>
      </c>
      <c r="I7" s="6">
        <v>0.45833333333333331</v>
      </c>
      <c r="J7" t="s">
        <v>30</v>
      </c>
      <c r="K7" t="s">
        <v>25</v>
      </c>
      <c r="L7" s="6">
        <v>0.45833333333333331</v>
      </c>
      <c r="M7" t="s">
        <v>30</v>
      </c>
      <c r="N7" t="s">
        <v>25</v>
      </c>
      <c r="O7" s="6">
        <v>0.45833333333333331</v>
      </c>
      <c r="P7" t="s">
        <v>30</v>
      </c>
      <c r="Q7" t="s">
        <v>25</v>
      </c>
      <c r="R7" s="6">
        <v>0.4548611111111111</v>
      </c>
      <c r="S7" t="s">
        <v>30</v>
      </c>
      <c r="T7" t="s">
        <v>25</v>
      </c>
      <c r="U7" s="6">
        <v>0.44444444444444442</v>
      </c>
      <c r="V7" t="s">
        <v>30</v>
      </c>
      <c r="W7" t="s">
        <v>25</v>
      </c>
      <c r="X7" s="6">
        <v>0.4548611111111111</v>
      </c>
      <c r="Y7" t="s">
        <v>30</v>
      </c>
      <c r="Z7" t="s">
        <v>25</v>
      </c>
      <c r="AA7" s="6">
        <v>0.46527777777777779</v>
      </c>
      <c r="AB7" t="s">
        <v>30</v>
      </c>
      <c r="AC7" t="s">
        <v>25</v>
      </c>
      <c r="AD7" s="6">
        <v>0.4513888888888889</v>
      </c>
      <c r="AE7" t="s">
        <v>30</v>
      </c>
      <c r="AF7" t="s">
        <v>25</v>
      </c>
      <c r="AG7" s="6">
        <v>0.46180555555555558</v>
      </c>
      <c r="AH7" t="s">
        <v>30</v>
      </c>
      <c r="AI7" t="s">
        <v>25</v>
      </c>
      <c r="AJ7" s="6">
        <v>0.4548611111111111</v>
      </c>
    </row>
    <row r="8" spans="1:36" x14ac:dyDescent="0.1">
      <c r="B8" t="s">
        <v>143</v>
      </c>
      <c r="E8" t="s">
        <v>33</v>
      </c>
      <c r="H8" t="s">
        <v>217</v>
      </c>
      <c r="K8" t="s">
        <v>84</v>
      </c>
      <c r="N8" t="s">
        <v>75</v>
      </c>
      <c r="Q8" t="s">
        <v>134</v>
      </c>
      <c r="T8" t="s">
        <v>75</v>
      </c>
      <c r="W8" t="s">
        <v>134</v>
      </c>
      <c r="Z8" t="s">
        <v>33</v>
      </c>
      <c r="AC8" t="s">
        <v>76</v>
      </c>
      <c r="AF8" t="s">
        <v>75</v>
      </c>
      <c r="AI8" t="s">
        <v>134</v>
      </c>
    </row>
    <row r="9" spans="1:36" x14ac:dyDescent="0.1">
      <c r="A9" t="s">
        <v>32</v>
      </c>
      <c r="B9" t="s">
        <v>244</v>
      </c>
      <c r="C9" s="6">
        <v>0.47569444444444442</v>
      </c>
      <c r="D9" t="s">
        <v>32</v>
      </c>
      <c r="E9" t="s">
        <v>257</v>
      </c>
      <c r="F9" s="6">
        <v>0.47569444444444442</v>
      </c>
      <c r="G9" t="s">
        <v>32</v>
      </c>
      <c r="H9" t="s">
        <v>25</v>
      </c>
      <c r="I9" s="6">
        <v>0.47916666666666669</v>
      </c>
      <c r="J9" t="s">
        <v>32</v>
      </c>
      <c r="K9" t="s">
        <v>25</v>
      </c>
      <c r="L9" s="6">
        <v>0.47916666666666669</v>
      </c>
      <c r="M9" t="s">
        <v>32</v>
      </c>
      <c r="N9" t="s">
        <v>25</v>
      </c>
      <c r="O9" s="6">
        <v>0.47916666666666669</v>
      </c>
      <c r="P9" t="s">
        <v>32</v>
      </c>
      <c r="Q9" t="s">
        <v>25</v>
      </c>
      <c r="R9" s="6">
        <v>0.47569444444444442</v>
      </c>
      <c r="S9" t="s">
        <v>32</v>
      </c>
      <c r="T9" t="s">
        <v>25</v>
      </c>
      <c r="U9" s="6">
        <v>0.46527777777777779</v>
      </c>
      <c r="V9" t="s">
        <v>32</v>
      </c>
      <c r="W9" t="s">
        <v>25</v>
      </c>
      <c r="X9" s="6">
        <v>0.47569444444444442</v>
      </c>
      <c r="Y9" t="s">
        <v>32</v>
      </c>
      <c r="Z9" t="s">
        <v>25</v>
      </c>
      <c r="AA9" s="6">
        <v>0.4861111111111111</v>
      </c>
      <c r="AB9" t="s">
        <v>32</v>
      </c>
      <c r="AC9" t="s">
        <v>25</v>
      </c>
      <c r="AD9" s="6">
        <v>0.47222222222222221</v>
      </c>
      <c r="AE9" t="s">
        <v>32</v>
      </c>
      <c r="AF9" t="s">
        <v>25</v>
      </c>
      <c r="AG9" s="6">
        <v>0.4826388888888889</v>
      </c>
      <c r="AH9" t="s">
        <v>32</v>
      </c>
      <c r="AI9" t="s">
        <v>244</v>
      </c>
      <c r="AJ9" s="6">
        <v>0.47569444444444442</v>
      </c>
    </row>
    <row r="10" spans="1:36" x14ac:dyDescent="0.1">
      <c r="B10" t="s">
        <v>416</v>
      </c>
      <c r="E10" t="s">
        <v>434</v>
      </c>
      <c r="H10" t="s">
        <v>75</v>
      </c>
      <c r="K10" t="s">
        <v>354</v>
      </c>
      <c r="N10" t="s">
        <v>228</v>
      </c>
      <c r="Q10" t="s">
        <v>76</v>
      </c>
      <c r="T10" t="s">
        <v>354</v>
      </c>
      <c r="W10" t="s">
        <v>217</v>
      </c>
      <c r="Z10" t="s">
        <v>143</v>
      </c>
      <c r="AC10" t="s">
        <v>29</v>
      </c>
      <c r="AF10" t="s">
        <v>354</v>
      </c>
      <c r="AI10" t="s">
        <v>416</v>
      </c>
    </row>
    <row r="11" spans="1:36" x14ac:dyDescent="0.1">
      <c r="A11" t="s">
        <v>34</v>
      </c>
      <c r="B11" t="s">
        <v>25</v>
      </c>
      <c r="C11" s="6">
        <v>0.51041666666666663</v>
      </c>
      <c r="D11" t="s">
        <v>34</v>
      </c>
      <c r="E11" t="s">
        <v>25</v>
      </c>
      <c r="F11" s="6">
        <v>0.51041666666666663</v>
      </c>
      <c r="G11" t="s">
        <v>34</v>
      </c>
      <c r="H11" t="s">
        <v>25</v>
      </c>
      <c r="I11" s="6">
        <v>0.51388888888888884</v>
      </c>
      <c r="J11" t="s">
        <v>34</v>
      </c>
      <c r="K11" t="s">
        <v>25</v>
      </c>
      <c r="L11" s="6">
        <v>0.51388888888888884</v>
      </c>
      <c r="M11" t="s">
        <v>34</v>
      </c>
      <c r="N11" t="s">
        <v>246</v>
      </c>
      <c r="O11" s="6">
        <v>0.51388888888888884</v>
      </c>
      <c r="P11" t="s">
        <v>34</v>
      </c>
      <c r="Q11" t="s">
        <v>25</v>
      </c>
      <c r="R11" s="6">
        <v>0.51041666666666663</v>
      </c>
      <c r="S11" t="s">
        <v>34</v>
      </c>
      <c r="T11" t="s">
        <v>25</v>
      </c>
      <c r="U11" s="6">
        <v>0.5</v>
      </c>
      <c r="V11" t="s">
        <v>34</v>
      </c>
      <c r="W11" t="s">
        <v>25</v>
      </c>
      <c r="X11" s="6">
        <v>0.51041666666666663</v>
      </c>
      <c r="Y11" t="s">
        <v>34</v>
      </c>
      <c r="Z11" t="s">
        <v>25</v>
      </c>
      <c r="AA11" s="6">
        <v>0.52083333333333337</v>
      </c>
      <c r="AB11" t="s">
        <v>34</v>
      </c>
      <c r="AC11" t="s">
        <v>246</v>
      </c>
      <c r="AD11" s="6">
        <v>0.50694444444444442</v>
      </c>
      <c r="AE11" t="s">
        <v>34</v>
      </c>
      <c r="AF11" t="s">
        <v>25</v>
      </c>
      <c r="AG11" s="6">
        <v>0.51736111111111116</v>
      </c>
      <c r="AH11" t="s">
        <v>34</v>
      </c>
      <c r="AI11" t="s">
        <v>25</v>
      </c>
      <c r="AJ11" s="6">
        <v>0.51736111111111116</v>
      </c>
    </row>
    <row r="12" spans="1:36" x14ac:dyDescent="0.1">
      <c r="B12" t="s">
        <v>259</v>
      </c>
      <c r="E12" t="s">
        <v>29</v>
      </c>
      <c r="H12" t="s">
        <v>29</v>
      </c>
      <c r="K12" t="s">
        <v>90</v>
      </c>
      <c r="N12" t="s">
        <v>76</v>
      </c>
      <c r="Q12" t="s">
        <v>29</v>
      </c>
      <c r="T12" t="s">
        <v>90</v>
      </c>
      <c r="W12" t="s">
        <v>29</v>
      </c>
      <c r="Z12" t="s">
        <v>259</v>
      </c>
      <c r="AC12" t="s">
        <v>33</v>
      </c>
      <c r="AF12" t="s">
        <v>90</v>
      </c>
      <c r="AI12" t="s">
        <v>76</v>
      </c>
    </row>
    <row r="13" spans="1:36" x14ac:dyDescent="0.1">
      <c r="A13" t="s">
        <v>35</v>
      </c>
      <c r="B13" t="s">
        <v>25</v>
      </c>
      <c r="C13" s="6">
        <v>0.53125</v>
      </c>
      <c r="D13" t="s">
        <v>35</v>
      </c>
      <c r="E13" t="s">
        <v>246</v>
      </c>
      <c r="F13" s="6">
        <v>0.53125</v>
      </c>
      <c r="G13" t="s">
        <v>35</v>
      </c>
      <c r="H13" t="s">
        <v>247</v>
      </c>
      <c r="I13" s="6">
        <v>0.53472222222222221</v>
      </c>
      <c r="J13" t="s">
        <v>35</v>
      </c>
      <c r="K13" t="s">
        <v>246</v>
      </c>
      <c r="L13" s="6">
        <v>0.53472222222222221</v>
      </c>
      <c r="M13" t="s">
        <v>35</v>
      </c>
      <c r="N13" t="s">
        <v>246</v>
      </c>
      <c r="O13" s="6">
        <v>0.53472222222222221</v>
      </c>
      <c r="P13" t="s">
        <v>35</v>
      </c>
      <c r="Q13" t="s">
        <v>247</v>
      </c>
      <c r="R13" s="6">
        <v>0.53125</v>
      </c>
      <c r="S13" t="s">
        <v>35</v>
      </c>
      <c r="T13" t="s">
        <v>247</v>
      </c>
      <c r="U13" s="6">
        <v>0.52083333333333337</v>
      </c>
      <c r="V13" t="s">
        <v>35</v>
      </c>
      <c r="W13" t="s">
        <v>246</v>
      </c>
      <c r="X13" s="6">
        <v>0.53125</v>
      </c>
      <c r="Y13" t="s">
        <v>35</v>
      </c>
      <c r="Z13" t="s">
        <v>246</v>
      </c>
      <c r="AA13" s="6">
        <v>0.54166666666666663</v>
      </c>
      <c r="AB13" t="s">
        <v>35</v>
      </c>
      <c r="AC13" t="s">
        <v>246</v>
      </c>
      <c r="AD13" s="6">
        <v>0.52777777777777779</v>
      </c>
      <c r="AE13" t="s">
        <v>35</v>
      </c>
      <c r="AF13" t="s">
        <v>247</v>
      </c>
      <c r="AG13" s="6">
        <v>0.53819444444444442</v>
      </c>
      <c r="AH13" t="s">
        <v>35</v>
      </c>
      <c r="AI13" t="s">
        <v>246</v>
      </c>
      <c r="AJ13" s="6">
        <v>0.53819444444444442</v>
      </c>
    </row>
    <row r="14" spans="1:36" x14ac:dyDescent="0.1">
      <c r="B14" t="s">
        <v>76</v>
      </c>
      <c r="E14" t="s">
        <v>77</v>
      </c>
      <c r="H14" t="s">
        <v>113</v>
      </c>
      <c r="K14" t="s">
        <v>77</v>
      </c>
      <c r="N14" t="s">
        <v>122</v>
      </c>
      <c r="Q14" t="s">
        <v>505</v>
      </c>
      <c r="T14" t="s">
        <v>85</v>
      </c>
      <c r="W14" t="s">
        <v>89</v>
      </c>
      <c r="Z14" t="s">
        <v>77</v>
      </c>
      <c r="AC14" t="s">
        <v>134</v>
      </c>
      <c r="AF14" t="s">
        <v>78</v>
      </c>
      <c r="AI14" t="s">
        <v>77</v>
      </c>
    </row>
    <row r="15" spans="1:36" x14ac:dyDescent="0.1">
      <c r="A15" t="s">
        <v>38</v>
      </c>
      <c r="B15" t="s">
        <v>246</v>
      </c>
      <c r="C15" s="6">
        <v>0.55208333333333337</v>
      </c>
      <c r="D15" t="s">
        <v>38</v>
      </c>
      <c r="E15" t="s">
        <v>247</v>
      </c>
      <c r="F15" s="6">
        <v>0.55208333333333337</v>
      </c>
      <c r="G15" t="s">
        <v>38</v>
      </c>
      <c r="H15" t="s">
        <v>246</v>
      </c>
      <c r="I15" s="6">
        <v>0.55555555555555558</v>
      </c>
      <c r="J15" t="s">
        <v>38</v>
      </c>
      <c r="K15" t="s">
        <v>247</v>
      </c>
      <c r="L15" s="6">
        <v>0.55555555555555558</v>
      </c>
      <c r="M15" t="s">
        <v>38</v>
      </c>
      <c r="N15" t="s">
        <v>247</v>
      </c>
      <c r="O15" s="6">
        <v>0.55555555555555558</v>
      </c>
      <c r="P15" t="s">
        <v>38</v>
      </c>
      <c r="Q15" t="s">
        <v>246</v>
      </c>
      <c r="R15" s="6">
        <v>0.55208333333333337</v>
      </c>
      <c r="S15" t="s">
        <v>38</v>
      </c>
      <c r="T15" t="s">
        <v>247</v>
      </c>
      <c r="U15" s="6">
        <v>0.54166666666666663</v>
      </c>
      <c r="V15" t="s">
        <v>38</v>
      </c>
      <c r="W15" t="s">
        <v>247</v>
      </c>
      <c r="X15" s="6">
        <v>0.55208333333333337</v>
      </c>
      <c r="Y15" t="s">
        <v>38</v>
      </c>
      <c r="Z15" t="s">
        <v>247</v>
      </c>
      <c r="AA15" s="6">
        <v>0.5625</v>
      </c>
      <c r="AB15" t="s">
        <v>38</v>
      </c>
      <c r="AC15" t="s">
        <v>247</v>
      </c>
      <c r="AD15" s="6">
        <v>0.54861111111111116</v>
      </c>
      <c r="AE15" t="s">
        <v>38</v>
      </c>
      <c r="AF15" t="s">
        <v>247</v>
      </c>
      <c r="AG15" s="6">
        <v>0.55902777777777779</v>
      </c>
      <c r="AH15" t="s">
        <v>38</v>
      </c>
      <c r="AI15" t="s">
        <v>247</v>
      </c>
      <c r="AJ15" s="6">
        <v>0.55902777777777779</v>
      </c>
    </row>
    <row r="16" spans="1:36" x14ac:dyDescent="0.1">
      <c r="B16" t="s">
        <v>89</v>
      </c>
      <c r="E16" t="s">
        <v>185</v>
      </c>
      <c r="H16" t="s">
        <v>452</v>
      </c>
      <c r="K16" t="s">
        <v>60</v>
      </c>
      <c r="N16" t="s">
        <v>162</v>
      </c>
      <c r="Q16" t="s">
        <v>84</v>
      </c>
      <c r="T16" t="s">
        <v>171</v>
      </c>
      <c r="W16" t="s">
        <v>60</v>
      </c>
      <c r="Z16" t="s">
        <v>78</v>
      </c>
      <c r="AC16" t="s">
        <v>417</v>
      </c>
      <c r="AF16" t="s">
        <v>171</v>
      </c>
      <c r="AI16" t="s">
        <v>268</v>
      </c>
    </row>
    <row r="17" spans="1:36" x14ac:dyDescent="0.1">
      <c r="A17" t="s">
        <v>40</v>
      </c>
      <c r="B17" t="s">
        <v>247</v>
      </c>
      <c r="C17" s="6">
        <v>0.57291666666666663</v>
      </c>
      <c r="D17" t="s">
        <v>40</v>
      </c>
      <c r="E17" t="s">
        <v>247</v>
      </c>
      <c r="F17" s="6">
        <v>0.57291666666666663</v>
      </c>
      <c r="G17" t="s">
        <v>40</v>
      </c>
      <c r="H17" t="s">
        <v>247</v>
      </c>
      <c r="I17" s="6">
        <v>0.57638888888888884</v>
      </c>
      <c r="J17" t="s">
        <v>40</v>
      </c>
      <c r="K17" t="s">
        <v>471</v>
      </c>
      <c r="L17" s="6">
        <v>0.57638888888888884</v>
      </c>
      <c r="M17" t="s">
        <v>40</v>
      </c>
      <c r="N17" t="s">
        <v>247</v>
      </c>
      <c r="O17" s="6">
        <v>0.57638888888888884</v>
      </c>
      <c r="P17" t="s">
        <v>40</v>
      </c>
      <c r="Q17" t="s">
        <v>247</v>
      </c>
      <c r="R17" s="6">
        <v>0.57291666666666663</v>
      </c>
      <c r="S17" t="s">
        <v>40</v>
      </c>
      <c r="T17" t="s">
        <v>522</v>
      </c>
      <c r="U17" s="6">
        <v>0.56597222222222221</v>
      </c>
      <c r="V17" t="s">
        <v>40</v>
      </c>
      <c r="W17" t="s">
        <v>254</v>
      </c>
      <c r="X17" s="6">
        <v>0.57291666666666663</v>
      </c>
      <c r="Y17" t="s">
        <v>40</v>
      </c>
      <c r="Z17" t="s">
        <v>247</v>
      </c>
      <c r="AA17" s="6">
        <v>0.58333333333333337</v>
      </c>
      <c r="AB17" t="s">
        <v>40</v>
      </c>
      <c r="AC17" t="s">
        <v>254</v>
      </c>
      <c r="AD17" s="6">
        <v>0.56944444444444442</v>
      </c>
      <c r="AE17" t="s">
        <v>40</v>
      </c>
      <c r="AF17" t="s">
        <v>254</v>
      </c>
      <c r="AG17" s="6">
        <v>0.57986111111111116</v>
      </c>
      <c r="AH17" t="s">
        <v>40</v>
      </c>
      <c r="AI17" t="s">
        <v>254</v>
      </c>
      <c r="AJ17" s="6">
        <v>0.58333333333333337</v>
      </c>
    </row>
    <row r="18" spans="1:36" x14ac:dyDescent="0.1">
      <c r="B18" t="s">
        <v>417</v>
      </c>
      <c r="E18" t="s">
        <v>78</v>
      </c>
      <c r="H18" t="s">
        <v>114</v>
      </c>
      <c r="K18" t="s">
        <v>254</v>
      </c>
      <c r="N18" t="s">
        <v>316</v>
      </c>
      <c r="Q18" t="s">
        <v>39</v>
      </c>
      <c r="T18" t="s">
        <v>244</v>
      </c>
      <c r="W18" t="s">
        <v>162</v>
      </c>
      <c r="Z18" t="s">
        <v>185</v>
      </c>
      <c r="AC18" t="s">
        <v>78</v>
      </c>
      <c r="AF18" t="s">
        <v>417</v>
      </c>
      <c r="AI18" t="s">
        <v>135</v>
      </c>
    </row>
    <row r="19" spans="1:36" x14ac:dyDescent="0.1">
      <c r="A19" t="s">
        <v>42</v>
      </c>
      <c r="B19" t="s">
        <v>418</v>
      </c>
      <c r="C19" s="6">
        <v>0.59375</v>
      </c>
      <c r="D19" t="s">
        <v>42</v>
      </c>
      <c r="E19" t="s">
        <v>435</v>
      </c>
      <c r="F19" s="6">
        <v>0.59375</v>
      </c>
      <c r="G19" t="s">
        <v>42</v>
      </c>
      <c r="H19" t="s">
        <v>453</v>
      </c>
      <c r="I19" s="6">
        <v>0.59722222222222221</v>
      </c>
      <c r="K19" t="s">
        <v>39</v>
      </c>
      <c r="M19" t="s">
        <v>42</v>
      </c>
      <c r="N19" t="s">
        <v>489</v>
      </c>
      <c r="O19" s="6">
        <v>0.59722222222222221</v>
      </c>
      <c r="P19" t="s">
        <v>42</v>
      </c>
      <c r="Q19" t="s">
        <v>506</v>
      </c>
      <c r="R19" s="6">
        <v>0.59375</v>
      </c>
      <c r="T19" t="s">
        <v>523</v>
      </c>
      <c r="V19" t="s">
        <v>42</v>
      </c>
      <c r="W19" t="s">
        <v>537</v>
      </c>
      <c r="X19" s="6">
        <v>0.59375</v>
      </c>
      <c r="Y19" t="s">
        <v>42</v>
      </c>
      <c r="Z19" t="s">
        <v>550</v>
      </c>
      <c r="AA19" s="6">
        <v>0.60416666666666663</v>
      </c>
      <c r="AB19" t="s">
        <v>42</v>
      </c>
      <c r="AC19" t="s">
        <v>572</v>
      </c>
      <c r="AD19" s="6">
        <v>0.59375</v>
      </c>
      <c r="AE19" t="s">
        <v>42</v>
      </c>
      <c r="AF19" t="s">
        <v>585</v>
      </c>
      <c r="AG19" s="6">
        <v>0.60416666666666663</v>
      </c>
      <c r="AH19" t="s">
        <v>42</v>
      </c>
      <c r="AI19" t="s">
        <v>599</v>
      </c>
      <c r="AJ19" s="6">
        <v>0.60763888888888884</v>
      </c>
    </row>
    <row r="20" spans="1:36" x14ac:dyDescent="0.1">
      <c r="B20" t="s">
        <v>246</v>
      </c>
      <c r="E20" t="s">
        <v>254</v>
      </c>
      <c r="H20" t="s">
        <v>246</v>
      </c>
      <c r="J20" t="s">
        <v>42</v>
      </c>
      <c r="K20" t="s">
        <v>472</v>
      </c>
      <c r="L20" s="6">
        <v>0.60069444444444442</v>
      </c>
      <c r="N20" t="s">
        <v>254</v>
      </c>
      <c r="Q20" t="s">
        <v>250</v>
      </c>
      <c r="S20" t="s">
        <v>42</v>
      </c>
      <c r="T20" t="s">
        <v>524</v>
      </c>
      <c r="U20" s="6">
        <v>0.59027777777777779</v>
      </c>
      <c r="W20" t="s">
        <v>254</v>
      </c>
      <c r="Z20" t="s">
        <v>246</v>
      </c>
      <c r="AC20" t="s">
        <v>254</v>
      </c>
      <c r="AF20" t="s">
        <v>225</v>
      </c>
      <c r="AI20" t="s">
        <v>254</v>
      </c>
    </row>
    <row r="21" spans="1:36" x14ac:dyDescent="0.1">
      <c r="B21" t="s">
        <v>90</v>
      </c>
      <c r="E21" t="s">
        <v>395</v>
      </c>
      <c r="H21" t="s">
        <v>454</v>
      </c>
      <c r="K21" t="s">
        <v>254</v>
      </c>
      <c r="N21" t="s">
        <v>171</v>
      </c>
      <c r="Q21" t="s">
        <v>507</v>
      </c>
      <c r="T21" t="s">
        <v>246</v>
      </c>
      <c r="W21" t="s">
        <v>268</v>
      </c>
      <c r="Z21" t="s">
        <v>76</v>
      </c>
      <c r="AC21" t="s">
        <v>185</v>
      </c>
      <c r="AF21" t="s">
        <v>312</v>
      </c>
      <c r="AI21" t="s">
        <v>78</v>
      </c>
    </row>
    <row r="22" spans="1:36" x14ac:dyDescent="0.1">
      <c r="A22" t="s">
        <v>46</v>
      </c>
      <c r="B22" t="s">
        <v>419</v>
      </c>
      <c r="C22" s="6">
        <v>0.61805555555555558</v>
      </c>
      <c r="D22" t="s">
        <v>46</v>
      </c>
      <c r="E22" t="s">
        <v>436</v>
      </c>
      <c r="F22" s="6">
        <v>0.61805555555555558</v>
      </c>
      <c r="G22" t="s">
        <v>46</v>
      </c>
      <c r="H22" t="s">
        <v>455</v>
      </c>
      <c r="I22" s="6">
        <v>0.62152777777777779</v>
      </c>
      <c r="K22" t="s">
        <v>78</v>
      </c>
      <c r="M22" t="s">
        <v>46</v>
      </c>
      <c r="N22" t="s">
        <v>490</v>
      </c>
      <c r="O22" s="6">
        <v>0.62152777777777779</v>
      </c>
      <c r="P22" t="s">
        <v>46</v>
      </c>
      <c r="Q22" t="s">
        <v>508</v>
      </c>
      <c r="R22" s="6">
        <v>0.61805555555555558</v>
      </c>
      <c r="T22" t="s">
        <v>29</v>
      </c>
      <c r="V22" t="s">
        <v>46</v>
      </c>
      <c r="W22" t="s">
        <v>538</v>
      </c>
      <c r="X22" s="6">
        <v>0.61805555555555558</v>
      </c>
      <c r="Y22" t="s">
        <v>46</v>
      </c>
      <c r="Z22" t="s">
        <v>551</v>
      </c>
      <c r="AA22" s="6">
        <v>0.62847222222222221</v>
      </c>
      <c r="AB22" t="s">
        <v>46</v>
      </c>
      <c r="AC22" t="s">
        <v>573</v>
      </c>
      <c r="AD22" s="6">
        <v>0.61805555555555558</v>
      </c>
      <c r="AE22" t="s">
        <v>46</v>
      </c>
      <c r="AF22" t="s">
        <v>586</v>
      </c>
      <c r="AG22" s="6">
        <v>0.62847222222222221</v>
      </c>
      <c r="AH22" t="s">
        <v>46</v>
      </c>
      <c r="AI22" t="s">
        <v>600</v>
      </c>
      <c r="AJ22" s="6">
        <v>0.63541666666666663</v>
      </c>
    </row>
    <row r="23" spans="1:36" x14ac:dyDescent="0.1">
      <c r="B23" t="s">
        <v>250</v>
      </c>
      <c r="E23" t="s">
        <v>250</v>
      </c>
      <c r="H23" t="s">
        <v>254</v>
      </c>
      <c r="J23" t="s">
        <v>46</v>
      </c>
      <c r="K23" t="s">
        <v>473</v>
      </c>
      <c r="L23" s="6">
        <v>0.625</v>
      </c>
      <c r="N23" t="s">
        <v>254</v>
      </c>
      <c r="Q23" t="s">
        <v>225</v>
      </c>
      <c r="S23" t="s">
        <v>46</v>
      </c>
      <c r="T23" t="s">
        <v>525</v>
      </c>
      <c r="U23" s="6">
        <v>0.61458333333333337</v>
      </c>
      <c r="W23" t="s">
        <v>250</v>
      </c>
      <c r="Z23" t="s">
        <v>552</v>
      </c>
      <c r="AC23" t="s">
        <v>250</v>
      </c>
      <c r="AF23" t="s">
        <v>250</v>
      </c>
      <c r="AI23" t="s">
        <v>264</v>
      </c>
    </row>
    <row r="24" spans="1:36" x14ac:dyDescent="0.1">
      <c r="B24" t="s">
        <v>78</v>
      </c>
      <c r="E24" t="s">
        <v>241</v>
      </c>
      <c r="H24" t="s">
        <v>85</v>
      </c>
      <c r="K24" t="s">
        <v>250</v>
      </c>
      <c r="N24" t="s">
        <v>60</v>
      </c>
      <c r="Q24" t="s">
        <v>509</v>
      </c>
      <c r="T24" t="s">
        <v>250</v>
      </c>
      <c r="W24" t="s">
        <v>167</v>
      </c>
      <c r="Z24" t="s">
        <v>250</v>
      </c>
      <c r="AC24" t="s">
        <v>85</v>
      </c>
      <c r="AF24" t="s">
        <v>138</v>
      </c>
      <c r="AI24" t="s">
        <v>601</v>
      </c>
    </row>
    <row r="25" spans="1:36" x14ac:dyDescent="0.1">
      <c r="A25" t="s">
        <v>49</v>
      </c>
      <c r="B25" t="s">
        <v>420</v>
      </c>
      <c r="C25" s="6">
        <v>0.64583333333333337</v>
      </c>
      <c r="D25" t="s">
        <v>49</v>
      </c>
      <c r="E25" t="s">
        <v>437</v>
      </c>
      <c r="F25" s="6">
        <v>0.64583333333333337</v>
      </c>
      <c r="G25" t="s">
        <v>49</v>
      </c>
      <c r="H25" t="s">
        <v>456</v>
      </c>
      <c r="I25" s="6">
        <v>0.64583333333333337</v>
      </c>
      <c r="K25" t="s">
        <v>39</v>
      </c>
      <c r="M25" t="s">
        <v>49</v>
      </c>
      <c r="N25" t="s">
        <v>491</v>
      </c>
      <c r="O25" s="6">
        <v>0.64583333333333337</v>
      </c>
      <c r="P25" t="s">
        <v>49</v>
      </c>
      <c r="Q25" t="s">
        <v>510</v>
      </c>
      <c r="R25" s="6">
        <v>0.64236111111111116</v>
      </c>
      <c r="T25" t="s">
        <v>162</v>
      </c>
      <c r="V25" t="s">
        <v>49</v>
      </c>
      <c r="W25" t="s">
        <v>539</v>
      </c>
      <c r="X25" s="6">
        <v>0.64236111111111116</v>
      </c>
      <c r="Z25" t="s">
        <v>135</v>
      </c>
      <c r="AB25" t="s">
        <v>49</v>
      </c>
      <c r="AC25" t="s">
        <v>574</v>
      </c>
      <c r="AD25" s="6">
        <v>0.64236111111111116</v>
      </c>
      <c r="AE25" t="s">
        <v>49</v>
      </c>
      <c r="AF25" t="s">
        <v>587</v>
      </c>
      <c r="AG25" s="6">
        <v>0.65625</v>
      </c>
      <c r="AH25" t="s">
        <v>49</v>
      </c>
      <c r="AI25" t="s">
        <v>602</v>
      </c>
      <c r="AJ25" s="6">
        <v>0.67013888888888884</v>
      </c>
    </row>
    <row r="26" spans="1:36" x14ac:dyDescent="0.1">
      <c r="B26" t="s">
        <v>264</v>
      </c>
      <c r="E26" t="s">
        <v>264</v>
      </c>
      <c r="H26" t="s">
        <v>225</v>
      </c>
      <c r="J26" t="s">
        <v>49</v>
      </c>
      <c r="K26" t="s">
        <v>474</v>
      </c>
      <c r="L26" s="6">
        <v>0.65277777777777779</v>
      </c>
      <c r="N26" t="s">
        <v>225</v>
      </c>
      <c r="Q26" t="s">
        <v>264</v>
      </c>
      <c r="S26" t="s">
        <v>49</v>
      </c>
      <c r="T26" t="s">
        <v>526</v>
      </c>
      <c r="U26" s="6">
        <v>0.63888888888888884</v>
      </c>
      <c r="W26" t="s">
        <v>264</v>
      </c>
      <c r="Y26" t="s">
        <v>49</v>
      </c>
      <c r="Z26" t="s">
        <v>553</v>
      </c>
      <c r="AA26" s="6">
        <v>0.65625</v>
      </c>
      <c r="AC26" t="s">
        <v>264</v>
      </c>
      <c r="AF26" t="s">
        <v>225</v>
      </c>
      <c r="AI26" t="s">
        <v>225</v>
      </c>
    </row>
    <row r="27" spans="1:36" x14ac:dyDescent="0.1">
      <c r="B27" t="s">
        <v>391</v>
      </c>
      <c r="E27" t="s">
        <v>342</v>
      </c>
      <c r="H27" t="s">
        <v>134</v>
      </c>
      <c r="K27" t="s">
        <v>264</v>
      </c>
      <c r="N27" t="s">
        <v>259</v>
      </c>
      <c r="Q27" t="s">
        <v>312</v>
      </c>
      <c r="T27" t="s">
        <v>264</v>
      </c>
      <c r="W27" t="s">
        <v>356</v>
      </c>
      <c r="Z27" t="s">
        <v>264</v>
      </c>
      <c r="AC27" t="s">
        <v>241</v>
      </c>
      <c r="AF27" t="s">
        <v>33</v>
      </c>
      <c r="AI27" t="s">
        <v>603</v>
      </c>
    </row>
    <row r="28" spans="1:36" x14ac:dyDescent="0.1">
      <c r="A28" t="s">
        <v>53</v>
      </c>
      <c r="B28" t="s">
        <v>254</v>
      </c>
      <c r="C28" s="6">
        <v>0.67361111111111116</v>
      </c>
      <c r="D28" t="s">
        <v>53</v>
      </c>
      <c r="E28" t="s">
        <v>254</v>
      </c>
      <c r="F28" s="6">
        <v>0.67361111111111116</v>
      </c>
      <c r="G28" t="s">
        <v>53</v>
      </c>
      <c r="H28" t="s">
        <v>247</v>
      </c>
      <c r="I28" s="6">
        <v>0.67361111111111116</v>
      </c>
      <c r="K28" t="s">
        <v>475</v>
      </c>
      <c r="M28" t="s">
        <v>53</v>
      </c>
      <c r="N28" t="s">
        <v>254</v>
      </c>
      <c r="O28" s="6">
        <v>0.67361111111111116</v>
      </c>
      <c r="P28" t="s">
        <v>53</v>
      </c>
      <c r="Q28" t="s">
        <v>254</v>
      </c>
      <c r="R28" s="6">
        <v>0.67361111111111116</v>
      </c>
      <c r="T28" t="s">
        <v>103</v>
      </c>
      <c r="V28" t="s">
        <v>53</v>
      </c>
      <c r="W28" t="s">
        <v>254</v>
      </c>
      <c r="X28" s="6">
        <v>0.67361111111111116</v>
      </c>
      <c r="Z28" t="s">
        <v>554</v>
      </c>
      <c r="AB28" t="s">
        <v>53</v>
      </c>
      <c r="AC28" t="s">
        <v>247</v>
      </c>
      <c r="AD28" s="6">
        <v>0.67361111111111116</v>
      </c>
      <c r="AE28" t="s">
        <v>53</v>
      </c>
      <c r="AF28" t="s">
        <v>254</v>
      </c>
      <c r="AG28" s="6">
        <v>0.6875</v>
      </c>
      <c r="AH28" t="s">
        <v>53</v>
      </c>
      <c r="AI28" t="s">
        <v>604</v>
      </c>
      <c r="AJ28" s="6">
        <v>0.69444444444444442</v>
      </c>
    </row>
    <row r="29" spans="1:36" x14ac:dyDescent="0.1">
      <c r="B29" t="s">
        <v>171</v>
      </c>
      <c r="E29" t="s">
        <v>78</v>
      </c>
      <c r="H29" t="s">
        <v>171</v>
      </c>
      <c r="J29" t="s">
        <v>53</v>
      </c>
      <c r="K29" t="s">
        <v>476</v>
      </c>
      <c r="L29" s="6">
        <v>0.6875</v>
      </c>
      <c r="N29" t="s">
        <v>78</v>
      </c>
      <c r="Q29" t="s">
        <v>114</v>
      </c>
      <c r="S29" t="s">
        <v>53</v>
      </c>
      <c r="T29" t="s">
        <v>254</v>
      </c>
      <c r="U29" s="6">
        <v>0.66666666666666663</v>
      </c>
      <c r="W29" t="s">
        <v>417</v>
      </c>
      <c r="Y29" t="s">
        <v>53</v>
      </c>
      <c r="Z29" t="s">
        <v>555</v>
      </c>
      <c r="AA29" s="6">
        <v>0.6875</v>
      </c>
      <c r="AC29" t="s">
        <v>114</v>
      </c>
      <c r="AF29" t="s">
        <v>85</v>
      </c>
      <c r="AI29" t="s">
        <v>250</v>
      </c>
    </row>
    <row r="30" spans="1:36" x14ac:dyDescent="0.1">
      <c r="K30" t="s">
        <v>250</v>
      </c>
      <c r="T30" t="s">
        <v>85</v>
      </c>
      <c r="Z30" t="s">
        <v>556</v>
      </c>
      <c r="AI30" t="s">
        <v>417</v>
      </c>
    </row>
    <row r="31" spans="1:36" x14ac:dyDescent="0.1">
      <c r="K31" t="s">
        <v>356</v>
      </c>
      <c r="Z31" t="s">
        <v>254</v>
      </c>
    </row>
    <row r="32" spans="1:36" x14ac:dyDescent="0.1">
      <c r="Z32" t="s">
        <v>114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0380-DD8F-44E1-8E4D-0DE61BC24327}">
  <sheetPr codeName="Sheet17"/>
  <dimension ref="A1:X29"/>
  <sheetViews>
    <sheetView workbookViewId="0"/>
  </sheetViews>
  <sheetFormatPr defaultRowHeight="13.5" x14ac:dyDescent="0.1"/>
  <cols>
    <col min="1" max="1" width="11.1796875" bestFit="1" customWidth="1"/>
    <col min="2" max="2" width="21.26953125" bestFit="1" customWidth="1"/>
    <col min="3" max="3" width="9.26953125" bestFit="1" customWidth="1"/>
    <col min="4" max="4" width="11.1796875" bestFit="1" customWidth="1"/>
    <col min="5" max="5" width="24.54296875" bestFit="1" customWidth="1"/>
    <col min="6" max="6" width="9.26953125" bestFit="1" customWidth="1"/>
    <col min="7" max="7" width="11.1796875" bestFit="1" customWidth="1"/>
    <col min="8" max="8" width="21.26953125" bestFit="1" customWidth="1"/>
    <col min="9" max="9" width="9.26953125" bestFit="1" customWidth="1"/>
    <col min="10" max="10" width="11.1796875" bestFit="1" customWidth="1"/>
    <col min="11" max="11" width="24.54296875" bestFit="1" customWidth="1"/>
    <col min="12" max="12" width="9.26953125" bestFit="1" customWidth="1"/>
    <col min="13" max="13" width="11.1796875" bestFit="1" customWidth="1"/>
    <col min="14" max="14" width="24.26953125" bestFit="1" customWidth="1"/>
    <col min="15" max="15" width="9.26953125" bestFit="1" customWidth="1"/>
    <col min="16" max="16" width="11.1796875" bestFit="1" customWidth="1"/>
    <col min="17" max="17" width="21.26953125" bestFit="1" customWidth="1"/>
    <col min="18" max="18" width="9.26953125" bestFit="1" customWidth="1"/>
    <col min="19" max="19" width="11.1796875" bestFit="1" customWidth="1"/>
    <col min="20" max="20" width="21.26953125" bestFit="1" customWidth="1"/>
    <col min="21" max="21" width="9.26953125" bestFit="1" customWidth="1"/>
    <col min="22" max="22" width="11.1796875" bestFit="1" customWidth="1"/>
    <col min="23" max="23" width="24.54296875" bestFit="1" customWidth="1"/>
    <col min="24" max="24" width="9.26953125" bestFit="1" customWidth="1"/>
  </cols>
  <sheetData>
    <row r="1" spans="1:24" x14ac:dyDescent="0.1">
      <c r="A1" t="s">
        <v>457</v>
      </c>
      <c r="D1" t="s">
        <v>477</v>
      </c>
      <c r="G1" t="s">
        <v>492</v>
      </c>
      <c r="J1" t="s">
        <v>511</v>
      </c>
      <c r="M1" t="s">
        <v>527</v>
      </c>
      <c r="P1" t="s">
        <v>540</v>
      </c>
      <c r="S1" t="s">
        <v>557</v>
      </c>
      <c r="V1" t="s">
        <v>575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257</v>
      </c>
      <c r="C3" s="6">
        <v>0.40625</v>
      </c>
      <c r="D3" t="s">
        <v>24</v>
      </c>
      <c r="E3" t="s">
        <v>25</v>
      </c>
      <c r="F3" s="6">
        <v>0.40625</v>
      </c>
      <c r="G3" t="s">
        <v>24</v>
      </c>
      <c r="H3" t="s">
        <v>257</v>
      </c>
      <c r="I3" s="6">
        <v>0.40625</v>
      </c>
      <c r="J3" t="s">
        <v>24</v>
      </c>
      <c r="K3" t="s">
        <v>25</v>
      </c>
      <c r="L3" s="6">
        <v>0.40625</v>
      </c>
      <c r="M3" t="s">
        <v>24</v>
      </c>
      <c r="N3" t="s">
        <v>25</v>
      </c>
      <c r="O3" s="6">
        <v>0.4201388888888889</v>
      </c>
      <c r="P3" t="s">
        <v>24</v>
      </c>
      <c r="Q3" t="s">
        <v>257</v>
      </c>
      <c r="R3" s="6">
        <v>0.40625</v>
      </c>
      <c r="S3" t="s">
        <v>24</v>
      </c>
      <c r="T3" t="s">
        <v>257</v>
      </c>
      <c r="U3" s="6">
        <v>0.40625</v>
      </c>
      <c r="V3" t="s">
        <v>24</v>
      </c>
      <c r="W3" t="s">
        <v>25</v>
      </c>
      <c r="X3" s="6">
        <v>0.40625</v>
      </c>
    </row>
    <row r="4" spans="1:24" x14ac:dyDescent="0.1">
      <c r="B4" t="s">
        <v>458</v>
      </c>
      <c r="E4" t="s">
        <v>228</v>
      </c>
      <c r="H4" t="s">
        <v>458</v>
      </c>
      <c r="K4" t="s">
        <v>84</v>
      </c>
      <c r="N4" t="s">
        <v>89</v>
      </c>
      <c r="Q4" t="s">
        <v>458</v>
      </c>
      <c r="T4" t="s">
        <v>458</v>
      </c>
      <c r="W4" t="s">
        <v>33</v>
      </c>
    </row>
    <row r="5" spans="1:24" x14ac:dyDescent="0.1">
      <c r="A5" t="s">
        <v>27</v>
      </c>
      <c r="B5" t="s">
        <v>25</v>
      </c>
      <c r="C5" s="6">
        <v>0.43055555555555558</v>
      </c>
      <c r="D5" t="s">
        <v>27</v>
      </c>
      <c r="E5" t="s">
        <v>25</v>
      </c>
      <c r="F5" s="6">
        <v>0.4236111111111111</v>
      </c>
      <c r="G5" t="s">
        <v>27</v>
      </c>
      <c r="H5" t="s">
        <v>25</v>
      </c>
      <c r="I5" s="6">
        <v>0.43055555555555558</v>
      </c>
      <c r="J5" t="s">
        <v>27</v>
      </c>
      <c r="K5" t="s">
        <v>25</v>
      </c>
      <c r="L5" s="6">
        <v>0.42708333333333331</v>
      </c>
      <c r="M5" t="s">
        <v>27</v>
      </c>
      <c r="N5" t="s">
        <v>25</v>
      </c>
      <c r="O5" s="6">
        <v>0.44097222222222221</v>
      </c>
      <c r="P5" t="s">
        <v>27</v>
      </c>
      <c r="Q5" t="s">
        <v>25</v>
      </c>
      <c r="R5" s="6">
        <v>0.42708333333333331</v>
      </c>
      <c r="S5" t="s">
        <v>27</v>
      </c>
      <c r="T5" t="s">
        <v>25</v>
      </c>
      <c r="U5" s="6">
        <v>0.43055555555555558</v>
      </c>
      <c r="V5" t="s">
        <v>27</v>
      </c>
      <c r="W5" t="s">
        <v>25</v>
      </c>
      <c r="X5" s="6">
        <v>0.4236111111111111</v>
      </c>
    </row>
    <row r="6" spans="1:24" x14ac:dyDescent="0.1">
      <c r="B6" t="s">
        <v>84</v>
      </c>
      <c r="E6" t="s">
        <v>122</v>
      </c>
      <c r="H6" t="s">
        <v>89</v>
      </c>
      <c r="K6" t="s">
        <v>122</v>
      </c>
      <c r="N6" t="s">
        <v>122</v>
      </c>
      <c r="Q6" t="s">
        <v>89</v>
      </c>
      <c r="T6" t="s">
        <v>84</v>
      </c>
      <c r="W6" t="s">
        <v>222</v>
      </c>
    </row>
    <row r="7" spans="1:24" x14ac:dyDescent="0.1">
      <c r="A7" t="s">
        <v>30</v>
      </c>
      <c r="B7" t="s">
        <v>25</v>
      </c>
      <c r="C7" s="6">
        <v>0.4513888888888889</v>
      </c>
      <c r="D7" t="s">
        <v>30</v>
      </c>
      <c r="E7" t="s">
        <v>25</v>
      </c>
      <c r="F7" s="6">
        <v>0.44444444444444442</v>
      </c>
      <c r="G7" t="s">
        <v>30</v>
      </c>
      <c r="H7" t="s">
        <v>25</v>
      </c>
      <c r="I7" s="6">
        <v>0.4513888888888889</v>
      </c>
      <c r="J7" t="s">
        <v>30</v>
      </c>
      <c r="K7" t="s">
        <v>25</v>
      </c>
      <c r="L7" s="6">
        <v>0.44791666666666669</v>
      </c>
      <c r="M7" t="s">
        <v>30</v>
      </c>
      <c r="N7" t="s">
        <v>25</v>
      </c>
      <c r="O7" s="6">
        <v>0.46180555555555558</v>
      </c>
      <c r="P7" t="s">
        <v>30</v>
      </c>
      <c r="Q7" t="s">
        <v>25</v>
      </c>
      <c r="R7" s="6">
        <v>0.44791666666666669</v>
      </c>
      <c r="S7" t="s">
        <v>30</v>
      </c>
      <c r="T7" t="s">
        <v>25</v>
      </c>
      <c r="U7" s="6">
        <v>0.4513888888888889</v>
      </c>
      <c r="V7" t="s">
        <v>30</v>
      </c>
      <c r="W7" t="s">
        <v>25</v>
      </c>
      <c r="X7" s="6">
        <v>0.44444444444444442</v>
      </c>
    </row>
    <row r="8" spans="1:24" x14ac:dyDescent="0.1">
      <c r="B8" t="s">
        <v>459</v>
      </c>
      <c r="E8" t="s">
        <v>89</v>
      </c>
      <c r="H8" t="s">
        <v>222</v>
      </c>
      <c r="K8" t="s">
        <v>89</v>
      </c>
      <c r="N8" t="s">
        <v>117</v>
      </c>
      <c r="Q8" t="s">
        <v>222</v>
      </c>
      <c r="T8" t="s">
        <v>122</v>
      </c>
      <c r="W8" t="s">
        <v>89</v>
      </c>
    </row>
    <row r="9" spans="1:24" x14ac:dyDescent="0.1">
      <c r="A9" t="s">
        <v>32</v>
      </c>
      <c r="B9" t="s">
        <v>244</v>
      </c>
      <c r="C9" s="6">
        <v>0.47222222222222221</v>
      </c>
      <c r="D9" t="s">
        <v>32</v>
      </c>
      <c r="E9" t="s">
        <v>257</v>
      </c>
      <c r="F9" s="6">
        <v>0.46527777777777779</v>
      </c>
      <c r="G9" t="s">
        <v>32</v>
      </c>
      <c r="H9" t="s">
        <v>244</v>
      </c>
      <c r="I9" s="6">
        <v>0.47222222222222221</v>
      </c>
      <c r="J9" t="s">
        <v>32</v>
      </c>
      <c r="K9" t="s">
        <v>257</v>
      </c>
      <c r="L9" s="6">
        <v>0.46875</v>
      </c>
      <c r="M9" t="s">
        <v>32</v>
      </c>
      <c r="N9" t="s">
        <v>25</v>
      </c>
      <c r="O9" s="6">
        <v>0.4826388888888889</v>
      </c>
      <c r="P9" t="s">
        <v>32</v>
      </c>
      <c r="Q9" t="s">
        <v>257</v>
      </c>
      <c r="R9" s="6">
        <v>0.46875</v>
      </c>
      <c r="S9" t="s">
        <v>32</v>
      </c>
      <c r="T9" t="s">
        <v>244</v>
      </c>
      <c r="U9" s="6">
        <v>0.47222222222222221</v>
      </c>
      <c r="V9" t="s">
        <v>32</v>
      </c>
      <c r="W9" t="s">
        <v>257</v>
      </c>
      <c r="X9" s="6">
        <v>0.46527777777777779</v>
      </c>
    </row>
    <row r="10" spans="1:24" x14ac:dyDescent="0.1">
      <c r="B10" t="s">
        <v>460</v>
      </c>
      <c r="E10" t="s">
        <v>458</v>
      </c>
      <c r="H10" t="s">
        <v>460</v>
      </c>
      <c r="K10" t="s">
        <v>458</v>
      </c>
      <c r="N10" t="s">
        <v>89</v>
      </c>
      <c r="Q10" t="s">
        <v>458</v>
      </c>
      <c r="T10" t="s">
        <v>558</v>
      </c>
      <c r="W10" t="s">
        <v>458</v>
      </c>
    </row>
    <row r="11" spans="1:24" x14ac:dyDescent="0.1">
      <c r="A11" t="s">
        <v>34</v>
      </c>
      <c r="B11" t="s">
        <v>25</v>
      </c>
      <c r="C11" s="6">
        <v>0.50694444444444442</v>
      </c>
      <c r="D11" t="s">
        <v>34</v>
      </c>
      <c r="E11" t="s">
        <v>25</v>
      </c>
      <c r="F11" s="6">
        <v>0.5</v>
      </c>
      <c r="G11" t="s">
        <v>34</v>
      </c>
      <c r="H11" t="s">
        <v>25</v>
      </c>
      <c r="I11" s="6">
        <v>0.50694444444444442</v>
      </c>
      <c r="J11" t="s">
        <v>34</v>
      </c>
      <c r="K11" t="s">
        <v>25</v>
      </c>
      <c r="L11" s="6">
        <v>0.50347222222222221</v>
      </c>
      <c r="M11" t="s">
        <v>34</v>
      </c>
      <c r="N11" t="s">
        <v>25</v>
      </c>
      <c r="O11" s="6">
        <v>0.51736111111111116</v>
      </c>
      <c r="P11" t="s">
        <v>34</v>
      </c>
      <c r="Q11" t="s">
        <v>25</v>
      </c>
      <c r="R11" s="6">
        <v>0.50347222222222221</v>
      </c>
      <c r="S11" t="s">
        <v>34</v>
      </c>
      <c r="T11" t="s">
        <v>25</v>
      </c>
      <c r="U11" s="6">
        <v>0.50694444444444442</v>
      </c>
      <c r="V11" t="s">
        <v>34</v>
      </c>
      <c r="W11" t="s">
        <v>25</v>
      </c>
      <c r="X11" s="6">
        <v>0.5</v>
      </c>
    </row>
    <row r="12" spans="1:24" x14ac:dyDescent="0.1">
      <c r="B12" t="s">
        <v>75</v>
      </c>
      <c r="E12" t="s">
        <v>90</v>
      </c>
      <c r="H12" t="s">
        <v>493</v>
      </c>
      <c r="K12" t="s">
        <v>143</v>
      </c>
      <c r="N12" t="s">
        <v>90</v>
      </c>
      <c r="Q12" t="s">
        <v>541</v>
      </c>
      <c r="T12" t="s">
        <v>75</v>
      </c>
      <c r="W12" t="s">
        <v>29</v>
      </c>
    </row>
    <row r="13" spans="1:24" x14ac:dyDescent="0.1">
      <c r="A13" t="s">
        <v>35</v>
      </c>
      <c r="B13" t="s">
        <v>25</v>
      </c>
      <c r="C13" s="6">
        <v>0.52777777777777779</v>
      </c>
      <c r="D13" t="s">
        <v>35</v>
      </c>
      <c r="E13" t="s">
        <v>247</v>
      </c>
      <c r="F13" s="6">
        <v>0.52083333333333337</v>
      </c>
      <c r="G13" t="s">
        <v>35</v>
      </c>
      <c r="H13" t="s">
        <v>25</v>
      </c>
      <c r="I13" s="6">
        <v>0.52777777777777779</v>
      </c>
      <c r="J13" t="s">
        <v>35</v>
      </c>
      <c r="K13" t="s">
        <v>25</v>
      </c>
      <c r="L13" s="6">
        <v>0.52430555555555558</v>
      </c>
      <c r="M13" t="s">
        <v>35</v>
      </c>
      <c r="N13" t="s">
        <v>25</v>
      </c>
      <c r="O13" s="6">
        <v>0.53819444444444442</v>
      </c>
      <c r="P13" t="s">
        <v>35</v>
      </c>
      <c r="Q13" t="s">
        <v>25</v>
      </c>
      <c r="R13" s="6">
        <v>0.52430555555555558</v>
      </c>
      <c r="S13" t="s">
        <v>35</v>
      </c>
      <c r="T13" t="s">
        <v>25</v>
      </c>
      <c r="U13" s="6">
        <v>0.52777777777777779</v>
      </c>
      <c r="V13" t="s">
        <v>35</v>
      </c>
      <c r="W13" t="s">
        <v>25</v>
      </c>
      <c r="X13" s="6">
        <v>0.52083333333333337</v>
      </c>
    </row>
    <row r="14" spans="1:24" x14ac:dyDescent="0.1">
      <c r="B14" t="s">
        <v>108</v>
      </c>
      <c r="E14" t="s">
        <v>478</v>
      </c>
      <c r="H14" t="s">
        <v>29</v>
      </c>
      <c r="K14" t="s">
        <v>211</v>
      </c>
      <c r="N14" t="s">
        <v>211</v>
      </c>
      <c r="Q14" t="s">
        <v>84</v>
      </c>
      <c r="T14" t="s">
        <v>324</v>
      </c>
      <c r="W14" t="s">
        <v>89</v>
      </c>
    </row>
    <row r="15" spans="1:24" x14ac:dyDescent="0.1">
      <c r="A15" t="s">
        <v>38</v>
      </c>
      <c r="B15" t="s">
        <v>247</v>
      </c>
      <c r="C15" s="6">
        <v>0.54861111111111116</v>
      </c>
      <c r="D15" t="s">
        <v>38</v>
      </c>
      <c r="E15" t="s">
        <v>247</v>
      </c>
      <c r="F15" s="6">
        <v>0.54166666666666663</v>
      </c>
      <c r="G15" t="s">
        <v>38</v>
      </c>
      <c r="H15" t="s">
        <v>247</v>
      </c>
      <c r="I15" s="6">
        <v>0.54861111111111116</v>
      </c>
      <c r="J15" t="s">
        <v>38</v>
      </c>
      <c r="K15" t="s">
        <v>247</v>
      </c>
      <c r="L15" s="6">
        <v>0.54513888888888884</v>
      </c>
      <c r="M15" t="s">
        <v>38</v>
      </c>
      <c r="N15" t="s">
        <v>247</v>
      </c>
      <c r="O15" s="6">
        <v>0.55902777777777779</v>
      </c>
      <c r="P15" t="s">
        <v>38</v>
      </c>
      <c r="Q15" t="s">
        <v>247</v>
      </c>
      <c r="R15" s="6">
        <v>0.54513888888888884</v>
      </c>
      <c r="S15" t="s">
        <v>38</v>
      </c>
      <c r="T15" t="s">
        <v>25</v>
      </c>
      <c r="U15" s="6">
        <v>0.54861111111111116</v>
      </c>
      <c r="V15" t="s">
        <v>38</v>
      </c>
      <c r="W15" t="s">
        <v>247</v>
      </c>
      <c r="X15" s="6">
        <v>0.54166666666666663</v>
      </c>
    </row>
    <row r="16" spans="1:24" x14ac:dyDescent="0.1">
      <c r="B16" t="s">
        <v>78</v>
      </c>
      <c r="E16" t="s">
        <v>330</v>
      </c>
      <c r="H16" t="s">
        <v>85</v>
      </c>
      <c r="K16" t="s">
        <v>512</v>
      </c>
      <c r="N16" t="s">
        <v>255</v>
      </c>
      <c r="Q16" t="s">
        <v>147</v>
      </c>
      <c r="T16" t="s">
        <v>184</v>
      </c>
      <c r="W16" t="s">
        <v>512</v>
      </c>
    </row>
    <row r="17" spans="1:24" x14ac:dyDescent="0.1">
      <c r="A17" t="s">
        <v>40</v>
      </c>
      <c r="B17" t="s">
        <v>247</v>
      </c>
      <c r="C17" s="6">
        <v>0.56944444444444442</v>
      </c>
      <c r="D17" t="s">
        <v>40</v>
      </c>
      <c r="E17" t="s">
        <v>247</v>
      </c>
      <c r="F17" s="6">
        <v>0.5625</v>
      </c>
      <c r="G17" t="s">
        <v>40</v>
      </c>
      <c r="H17" t="s">
        <v>247</v>
      </c>
      <c r="I17" s="6">
        <v>0.56944444444444442</v>
      </c>
      <c r="J17" t="s">
        <v>40</v>
      </c>
      <c r="K17" t="s">
        <v>247</v>
      </c>
      <c r="L17" s="6">
        <v>0.56597222222222221</v>
      </c>
      <c r="M17" t="s">
        <v>40</v>
      </c>
      <c r="N17" t="s">
        <v>247</v>
      </c>
      <c r="O17" s="6">
        <v>0.58333333333333337</v>
      </c>
      <c r="P17" t="s">
        <v>40</v>
      </c>
      <c r="Q17" t="s">
        <v>247</v>
      </c>
      <c r="R17" s="6">
        <v>0.56597222222222221</v>
      </c>
      <c r="S17" t="s">
        <v>40</v>
      </c>
      <c r="T17" t="s">
        <v>247</v>
      </c>
      <c r="U17" s="6">
        <v>0.56944444444444442</v>
      </c>
      <c r="V17" t="s">
        <v>40</v>
      </c>
      <c r="W17" t="s">
        <v>247</v>
      </c>
      <c r="X17" s="6">
        <v>0.5625</v>
      </c>
    </row>
    <row r="18" spans="1:24" x14ac:dyDescent="0.1">
      <c r="B18" t="s">
        <v>171</v>
      </c>
      <c r="E18" t="s">
        <v>185</v>
      </c>
      <c r="H18" t="s">
        <v>113</v>
      </c>
      <c r="K18" t="s">
        <v>255</v>
      </c>
      <c r="N18" t="s">
        <v>78</v>
      </c>
      <c r="Q18" t="s">
        <v>78</v>
      </c>
      <c r="T18" t="s">
        <v>113</v>
      </c>
      <c r="W18" t="s">
        <v>39</v>
      </c>
    </row>
    <row r="19" spans="1:24" x14ac:dyDescent="0.1">
      <c r="A19" t="s">
        <v>42</v>
      </c>
      <c r="B19" t="s">
        <v>461</v>
      </c>
      <c r="C19" s="6">
        <v>0.59027777777777779</v>
      </c>
      <c r="D19" t="s">
        <v>42</v>
      </c>
      <c r="E19" t="s">
        <v>479</v>
      </c>
      <c r="F19" s="6">
        <v>0.58680555555555558</v>
      </c>
      <c r="G19" t="s">
        <v>42</v>
      </c>
      <c r="H19" t="s">
        <v>494</v>
      </c>
      <c r="I19" s="6">
        <v>0.59027777777777779</v>
      </c>
      <c r="J19" t="s">
        <v>42</v>
      </c>
      <c r="K19" t="s">
        <v>513</v>
      </c>
      <c r="L19" s="6">
        <v>0.58680555555555558</v>
      </c>
      <c r="M19" t="s">
        <v>42</v>
      </c>
      <c r="N19" t="s">
        <v>528</v>
      </c>
      <c r="O19" s="6">
        <v>0.60763888888888884</v>
      </c>
      <c r="P19" t="s">
        <v>42</v>
      </c>
      <c r="Q19" t="s">
        <v>542</v>
      </c>
      <c r="R19" s="6">
        <v>0.58680555555555558</v>
      </c>
      <c r="S19" t="s">
        <v>42</v>
      </c>
      <c r="T19" t="s">
        <v>559</v>
      </c>
      <c r="U19" s="6">
        <v>0.59027777777777779</v>
      </c>
      <c r="V19" t="s">
        <v>42</v>
      </c>
      <c r="W19" t="s">
        <v>576</v>
      </c>
      <c r="X19" s="6">
        <v>0.58680555555555558</v>
      </c>
    </row>
    <row r="20" spans="1:24" x14ac:dyDescent="0.1">
      <c r="B20" t="s">
        <v>246</v>
      </c>
      <c r="E20" t="s">
        <v>254</v>
      </c>
      <c r="H20" t="s">
        <v>246</v>
      </c>
      <c r="K20" t="s">
        <v>247</v>
      </c>
      <c r="N20" t="s">
        <v>247</v>
      </c>
      <c r="Q20" t="s">
        <v>247</v>
      </c>
      <c r="T20" t="s">
        <v>246</v>
      </c>
      <c r="W20" t="s">
        <v>247</v>
      </c>
    </row>
    <row r="21" spans="1:24" x14ac:dyDescent="0.1">
      <c r="B21" t="s">
        <v>89</v>
      </c>
      <c r="E21" t="s">
        <v>113</v>
      </c>
      <c r="H21" t="s">
        <v>33</v>
      </c>
      <c r="K21" t="s">
        <v>190</v>
      </c>
      <c r="N21" t="s">
        <v>99</v>
      </c>
      <c r="Q21" t="s">
        <v>98</v>
      </c>
      <c r="T21" t="s">
        <v>211</v>
      </c>
      <c r="W21" t="s">
        <v>185</v>
      </c>
    </row>
    <row r="22" spans="1:24" x14ac:dyDescent="0.1">
      <c r="A22" t="s">
        <v>46</v>
      </c>
      <c r="B22" t="s">
        <v>462</v>
      </c>
      <c r="C22" s="6">
        <v>0.61458333333333337</v>
      </c>
      <c r="D22" t="s">
        <v>46</v>
      </c>
      <c r="E22" t="s">
        <v>480</v>
      </c>
      <c r="F22" s="6">
        <v>0.61111111111111116</v>
      </c>
      <c r="G22" t="s">
        <v>46</v>
      </c>
      <c r="H22" t="s">
        <v>495</v>
      </c>
      <c r="I22" s="6">
        <v>0.61458333333333337</v>
      </c>
      <c r="J22" t="s">
        <v>46</v>
      </c>
      <c r="K22" t="s">
        <v>514</v>
      </c>
      <c r="L22" s="6">
        <v>0.61111111111111116</v>
      </c>
      <c r="M22" t="s">
        <v>46</v>
      </c>
      <c r="N22" t="s">
        <v>529</v>
      </c>
      <c r="O22" s="6">
        <v>0.63194444444444442</v>
      </c>
      <c r="P22" t="s">
        <v>46</v>
      </c>
      <c r="Q22" t="s">
        <v>543</v>
      </c>
      <c r="R22" s="6">
        <v>0.61111111111111116</v>
      </c>
      <c r="S22" t="s">
        <v>46</v>
      </c>
      <c r="T22" t="s">
        <v>560</v>
      </c>
      <c r="U22" s="6">
        <v>0.61458333333333337</v>
      </c>
      <c r="V22" t="s">
        <v>46</v>
      </c>
      <c r="W22" t="s">
        <v>577</v>
      </c>
      <c r="X22" s="6">
        <v>0.61111111111111116</v>
      </c>
    </row>
    <row r="23" spans="1:24" x14ac:dyDescent="0.1">
      <c r="B23" t="s">
        <v>254</v>
      </c>
      <c r="E23" t="s">
        <v>254</v>
      </c>
      <c r="H23" t="s">
        <v>247</v>
      </c>
      <c r="K23" t="s">
        <v>254</v>
      </c>
      <c r="N23" t="s">
        <v>254</v>
      </c>
      <c r="Q23" t="s">
        <v>254</v>
      </c>
      <c r="T23" t="s">
        <v>247</v>
      </c>
      <c r="W23" t="s">
        <v>254</v>
      </c>
    </row>
    <row r="24" spans="1:24" x14ac:dyDescent="0.1">
      <c r="B24" t="s">
        <v>185</v>
      </c>
      <c r="E24" t="s">
        <v>481</v>
      </c>
      <c r="H24" t="s">
        <v>185</v>
      </c>
      <c r="K24" t="s">
        <v>138</v>
      </c>
      <c r="N24" t="s">
        <v>78</v>
      </c>
      <c r="Q24" t="s">
        <v>147</v>
      </c>
      <c r="T24" t="s">
        <v>147</v>
      </c>
      <c r="W24" t="s">
        <v>85</v>
      </c>
    </row>
    <row r="25" spans="1:24" x14ac:dyDescent="0.1">
      <c r="A25" t="s">
        <v>49</v>
      </c>
      <c r="B25" t="s">
        <v>463</v>
      </c>
      <c r="C25" s="6">
        <v>0.63888888888888884</v>
      </c>
      <c r="D25" t="s">
        <v>49</v>
      </c>
      <c r="E25" t="s">
        <v>482</v>
      </c>
      <c r="F25" s="6">
        <v>0.63541666666666663</v>
      </c>
      <c r="G25" t="s">
        <v>49</v>
      </c>
      <c r="H25" t="s">
        <v>496</v>
      </c>
      <c r="I25" s="6">
        <v>0.63888888888888884</v>
      </c>
      <c r="J25" t="s">
        <v>49</v>
      </c>
      <c r="K25" t="s">
        <v>515</v>
      </c>
      <c r="L25" s="6">
        <v>0.63541666666666663</v>
      </c>
      <c r="M25" t="s">
        <v>49</v>
      </c>
      <c r="N25" t="s">
        <v>530</v>
      </c>
      <c r="O25" s="6">
        <v>0.65625</v>
      </c>
      <c r="P25" t="s">
        <v>49</v>
      </c>
      <c r="Q25" t="s">
        <v>544</v>
      </c>
      <c r="R25" s="6">
        <v>0.63541666666666663</v>
      </c>
      <c r="S25" t="s">
        <v>49</v>
      </c>
      <c r="T25" t="s">
        <v>561</v>
      </c>
      <c r="U25" s="6">
        <v>0.63888888888888884</v>
      </c>
      <c r="V25" t="s">
        <v>49</v>
      </c>
      <c r="W25" t="s">
        <v>578</v>
      </c>
      <c r="X25" s="6">
        <v>0.63541666666666663</v>
      </c>
    </row>
    <row r="26" spans="1:24" x14ac:dyDescent="0.1">
      <c r="B26" t="s">
        <v>250</v>
      </c>
      <c r="E26" t="s">
        <v>264</v>
      </c>
      <c r="H26" t="s">
        <v>250</v>
      </c>
      <c r="K26" t="s">
        <v>264</v>
      </c>
      <c r="N26" t="s">
        <v>264</v>
      </c>
      <c r="Q26" t="s">
        <v>250</v>
      </c>
      <c r="T26" t="s">
        <v>254</v>
      </c>
      <c r="W26" t="s">
        <v>264</v>
      </c>
    </row>
    <row r="27" spans="1:24" x14ac:dyDescent="0.1">
      <c r="B27" t="s">
        <v>113</v>
      </c>
      <c r="E27" t="s">
        <v>391</v>
      </c>
      <c r="H27" t="s">
        <v>98</v>
      </c>
      <c r="K27" t="s">
        <v>169</v>
      </c>
      <c r="N27" t="s">
        <v>120</v>
      </c>
      <c r="Q27" t="s">
        <v>185</v>
      </c>
      <c r="T27" t="s">
        <v>39</v>
      </c>
      <c r="W27" t="s">
        <v>481</v>
      </c>
    </row>
    <row r="28" spans="1:24" x14ac:dyDescent="0.1">
      <c r="A28" t="s">
        <v>53</v>
      </c>
      <c r="B28" t="s">
        <v>247</v>
      </c>
      <c r="C28" s="6">
        <v>0.66666666666666663</v>
      </c>
      <c r="D28" t="s">
        <v>53</v>
      </c>
      <c r="E28" t="s">
        <v>247</v>
      </c>
      <c r="F28" s="6">
        <v>0.66666666666666663</v>
      </c>
      <c r="G28" t="s">
        <v>53</v>
      </c>
      <c r="H28" t="s">
        <v>247</v>
      </c>
      <c r="I28" s="6">
        <v>0.66666666666666663</v>
      </c>
      <c r="J28" t="s">
        <v>53</v>
      </c>
      <c r="K28" t="s">
        <v>247</v>
      </c>
      <c r="L28" s="6">
        <v>0.66666666666666663</v>
      </c>
      <c r="M28" t="s">
        <v>53</v>
      </c>
      <c r="N28" t="s">
        <v>247</v>
      </c>
      <c r="O28" s="6">
        <v>0.6875</v>
      </c>
      <c r="P28" t="s">
        <v>53</v>
      </c>
      <c r="Q28" t="s">
        <v>247</v>
      </c>
      <c r="R28" s="6">
        <v>0.66666666666666663</v>
      </c>
      <c r="S28" t="s">
        <v>53</v>
      </c>
      <c r="T28" t="s">
        <v>247</v>
      </c>
      <c r="U28" s="6">
        <v>0.66666666666666663</v>
      </c>
      <c r="V28" t="s">
        <v>53</v>
      </c>
      <c r="W28" t="s">
        <v>247</v>
      </c>
      <c r="X28" s="6">
        <v>0.66666666666666663</v>
      </c>
    </row>
    <row r="29" spans="1:24" x14ac:dyDescent="0.1">
      <c r="B29" t="s">
        <v>98</v>
      </c>
      <c r="E29" t="s">
        <v>85</v>
      </c>
      <c r="H29" t="s">
        <v>78</v>
      </c>
      <c r="K29" t="s">
        <v>39</v>
      </c>
      <c r="N29" t="s">
        <v>111</v>
      </c>
      <c r="Q29" t="s">
        <v>85</v>
      </c>
      <c r="T29" t="s">
        <v>85</v>
      </c>
      <c r="W29" t="s">
        <v>78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93B1-7F96-4E7B-934C-C283F8C28ED4}">
  <sheetPr codeName="Sheet18"/>
  <dimension ref="A1:R31"/>
  <sheetViews>
    <sheetView workbookViewId="0"/>
  </sheetViews>
  <sheetFormatPr defaultRowHeight="13.5" x14ac:dyDescent="0.1"/>
  <cols>
    <col min="1" max="1" width="11.1796875" bestFit="1" customWidth="1"/>
    <col min="2" max="2" width="18.81640625" bestFit="1" customWidth="1"/>
    <col min="3" max="3" width="9.26953125" bestFit="1" customWidth="1"/>
    <col min="4" max="4" width="11.1796875" bestFit="1" customWidth="1"/>
    <col min="5" max="5" width="27.26953125" bestFit="1" customWidth="1"/>
    <col min="6" max="6" width="9.26953125" bestFit="1" customWidth="1"/>
    <col min="7" max="7" width="11.1796875" bestFit="1" customWidth="1"/>
    <col min="8" max="8" width="37.2265625" bestFit="1" customWidth="1"/>
    <col min="9" max="9" width="9.26953125" bestFit="1" customWidth="1"/>
    <col min="10" max="10" width="11.1796875" bestFit="1" customWidth="1"/>
    <col min="11" max="11" width="22.90625" bestFit="1" customWidth="1"/>
    <col min="12" max="12" width="9.26953125" bestFit="1" customWidth="1"/>
    <col min="13" max="13" width="11.1796875" bestFit="1" customWidth="1"/>
    <col min="14" max="14" width="21.26953125" bestFit="1" customWidth="1"/>
    <col min="15" max="15" width="9.26953125" bestFit="1" customWidth="1"/>
    <col min="16" max="16" width="11.1796875" bestFit="1" customWidth="1"/>
    <col min="17" max="17" width="31.90625" bestFit="1" customWidth="1"/>
    <col min="18" max="18" width="9.26953125" bestFit="1" customWidth="1"/>
  </cols>
  <sheetData>
    <row r="1" spans="1:18" x14ac:dyDescent="0.1">
      <c r="A1" t="s">
        <v>605</v>
      </c>
      <c r="D1" t="s">
        <v>613</v>
      </c>
      <c r="G1" t="s">
        <v>623</v>
      </c>
      <c r="J1" t="s">
        <v>638</v>
      </c>
      <c r="M1" t="s">
        <v>656</v>
      </c>
      <c r="P1" t="s">
        <v>672</v>
      </c>
    </row>
    <row r="2" spans="1:18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</row>
    <row r="3" spans="1:18" x14ac:dyDescent="0.1">
      <c r="A3" t="s">
        <v>24</v>
      </c>
      <c r="B3" t="s">
        <v>87</v>
      </c>
      <c r="C3" s="6">
        <v>0.4201388888888889</v>
      </c>
      <c r="D3" t="s">
        <v>24</v>
      </c>
      <c r="E3" t="s">
        <v>25</v>
      </c>
      <c r="F3" s="6">
        <v>0.4201388888888889</v>
      </c>
      <c r="G3" t="s">
        <v>24</v>
      </c>
      <c r="H3" t="s">
        <v>25</v>
      </c>
      <c r="I3" s="6">
        <v>0.41319444444444442</v>
      </c>
      <c r="J3" t="s">
        <v>24</v>
      </c>
      <c r="K3" t="s">
        <v>25</v>
      </c>
      <c r="L3" s="6">
        <v>0.41319444444444442</v>
      </c>
      <c r="M3" t="s">
        <v>24</v>
      </c>
      <c r="N3" t="s">
        <v>25</v>
      </c>
      <c r="O3" s="6">
        <v>0.4201388888888889</v>
      </c>
      <c r="P3" t="s">
        <v>24</v>
      </c>
      <c r="Q3" t="s">
        <v>87</v>
      </c>
      <c r="R3" s="6">
        <v>0.4201388888888889</v>
      </c>
    </row>
    <row r="4" spans="1:18" x14ac:dyDescent="0.1">
      <c r="B4" t="s">
        <v>580</v>
      </c>
      <c r="E4" t="s">
        <v>158</v>
      </c>
      <c r="H4" t="s">
        <v>406</v>
      </c>
      <c r="K4" t="s">
        <v>439</v>
      </c>
      <c r="N4" t="s">
        <v>406</v>
      </c>
      <c r="Q4" t="s">
        <v>580</v>
      </c>
    </row>
    <row r="5" spans="1:18" x14ac:dyDescent="0.1">
      <c r="A5" t="s">
        <v>27</v>
      </c>
      <c r="B5" t="s">
        <v>25</v>
      </c>
      <c r="C5" s="6">
        <v>0.44444444444444442</v>
      </c>
      <c r="D5" t="s">
        <v>27</v>
      </c>
      <c r="E5" t="s">
        <v>25</v>
      </c>
      <c r="F5" s="6">
        <v>0.44097222222222221</v>
      </c>
      <c r="G5" t="s">
        <v>27</v>
      </c>
      <c r="H5" t="s">
        <v>25</v>
      </c>
      <c r="I5" s="6">
        <v>0.43402777777777779</v>
      </c>
      <c r="J5" t="s">
        <v>27</v>
      </c>
      <c r="K5" t="s">
        <v>25</v>
      </c>
      <c r="L5" s="6">
        <v>0.43402777777777779</v>
      </c>
      <c r="M5" t="s">
        <v>27</v>
      </c>
      <c r="N5" t="s">
        <v>25</v>
      </c>
      <c r="O5" s="6">
        <v>0.44444444444444442</v>
      </c>
      <c r="P5" t="s">
        <v>27</v>
      </c>
      <c r="Q5" t="s">
        <v>25</v>
      </c>
      <c r="R5" s="6">
        <v>0.44444444444444442</v>
      </c>
    </row>
    <row r="6" spans="1:18" x14ac:dyDescent="0.1">
      <c r="B6" t="s">
        <v>406</v>
      </c>
      <c r="E6" t="s">
        <v>407</v>
      </c>
      <c r="H6" t="s">
        <v>184</v>
      </c>
      <c r="K6" t="s">
        <v>407</v>
      </c>
      <c r="N6" t="s">
        <v>77</v>
      </c>
      <c r="Q6" t="s">
        <v>408</v>
      </c>
    </row>
    <row r="7" spans="1:18" x14ac:dyDescent="0.1">
      <c r="A7" t="s">
        <v>30</v>
      </c>
      <c r="B7" t="s">
        <v>25</v>
      </c>
      <c r="C7" s="6">
        <v>0.46527777777777779</v>
      </c>
      <c r="D7" t="s">
        <v>30</v>
      </c>
      <c r="E7" t="s">
        <v>25</v>
      </c>
      <c r="F7" s="6">
        <v>0.46180555555555558</v>
      </c>
      <c r="G7" t="s">
        <v>30</v>
      </c>
      <c r="H7" t="s">
        <v>25</v>
      </c>
      <c r="I7" s="6">
        <v>0.4548611111111111</v>
      </c>
      <c r="J7" t="s">
        <v>30</v>
      </c>
      <c r="K7" t="s">
        <v>25</v>
      </c>
      <c r="L7" s="6">
        <v>0.4548611111111111</v>
      </c>
      <c r="M7" t="s">
        <v>30</v>
      </c>
      <c r="N7" t="s">
        <v>25</v>
      </c>
      <c r="O7" s="6">
        <v>0.46527777777777779</v>
      </c>
      <c r="P7" t="s">
        <v>30</v>
      </c>
      <c r="Q7" t="s">
        <v>25</v>
      </c>
      <c r="R7" s="6">
        <v>0.46527777777777779</v>
      </c>
    </row>
    <row r="8" spans="1:18" x14ac:dyDescent="0.1">
      <c r="B8" t="s">
        <v>77</v>
      </c>
      <c r="E8" t="s">
        <v>408</v>
      </c>
      <c r="H8" t="s">
        <v>77</v>
      </c>
      <c r="K8" t="s">
        <v>75</v>
      </c>
      <c r="N8" t="s">
        <v>65</v>
      </c>
      <c r="Q8" t="s">
        <v>407</v>
      </c>
    </row>
    <row r="9" spans="1:18" x14ac:dyDescent="0.1">
      <c r="A9" t="s">
        <v>32</v>
      </c>
      <c r="B9" t="s">
        <v>56</v>
      </c>
      <c r="C9" s="6">
        <v>0.4861111111111111</v>
      </c>
      <c r="D9" t="s">
        <v>32</v>
      </c>
      <c r="E9" t="s">
        <v>25</v>
      </c>
      <c r="F9" s="6">
        <v>0.4826388888888889</v>
      </c>
      <c r="G9" t="s">
        <v>32</v>
      </c>
      <c r="H9" t="s">
        <v>624</v>
      </c>
      <c r="I9" s="6">
        <v>0.47916666666666669</v>
      </c>
      <c r="J9" t="s">
        <v>32</v>
      </c>
      <c r="K9" t="s">
        <v>56</v>
      </c>
      <c r="L9" s="6">
        <v>0.47569444444444442</v>
      </c>
      <c r="M9" t="s">
        <v>32</v>
      </c>
      <c r="N9" t="s">
        <v>56</v>
      </c>
      <c r="O9" s="6">
        <v>0.4861111111111111</v>
      </c>
      <c r="P9" t="s">
        <v>32</v>
      </c>
      <c r="Q9" t="s">
        <v>56</v>
      </c>
      <c r="R9" s="6">
        <v>0.4861111111111111</v>
      </c>
    </row>
    <row r="10" spans="1:18" x14ac:dyDescent="0.1">
      <c r="B10" t="s">
        <v>75</v>
      </c>
      <c r="E10" t="s">
        <v>76</v>
      </c>
      <c r="H10" t="s">
        <v>163</v>
      </c>
      <c r="K10" t="s">
        <v>77</v>
      </c>
      <c r="N10" t="s">
        <v>107</v>
      </c>
      <c r="Q10" t="s">
        <v>75</v>
      </c>
    </row>
    <row r="11" spans="1:18" x14ac:dyDescent="0.1">
      <c r="A11" t="s">
        <v>34</v>
      </c>
      <c r="B11" t="s">
        <v>56</v>
      </c>
      <c r="C11" s="6">
        <v>0.52083333333333337</v>
      </c>
      <c r="D11" t="s">
        <v>34</v>
      </c>
      <c r="E11" t="s">
        <v>56</v>
      </c>
      <c r="F11" s="6">
        <v>0.51736111111111116</v>
      </c>
      <c r="H11" t="s">
        <v>625</v>
      </c>
      <c r="J11" t="s">
        <v>34</v>
      </c>
      <c r="K11" t="s">
        <v>56</v>
      </c>
      <c r="L11" s="6">
        <v>0.51041666666666663</v>
      </c>
      <c r="M11" t="s">
        <v>34</v>
      </c>
      <c r="N11" t="s">
        <v>56</v>
      </c>
      <c r="O11" s="6">
        <v>0.52083333333333337</v>
      </c>
      <c r="P11" t="s">
        <v>34</v>
      </c>
      <c r="Q11" t="s">
        <v>56</v>
      </c>
      <c r="R11" s="6">
        <v>0.52083333333333337</v>
      </c>
    </row>
    <row r="12" spans="1:18" x14ac:dyDescent="0.1">
      <c r="B12" t="s">
        <v>76</v>
      </c>
      <c r="E12" t="s">
        <v>65</v>
      </c>
      <c r="G12" t="s">
        <v>34</v>
      </c>
      <c r="H12" t="s">
        <v>56</v>
      </c>
      <c r="I12" s="6">
        <v>0.51388888888888884</v>
      </c>
      <c r="K12" t="s">
        <v>76</v>
      </c>
      <c r="N12" t="s">
        <v>76</v>
      </c>
      <c r="Q12" t="s">
        <v>65</v>
      </c>
    </row>
    <row r="13" spans="1:18" x14ac:dyDescent="0.1">
      <c r="A13" t="s">
        <v>35</v>
      </c>
      <c r="B13" t="s">
        <v>25</v>
      </c>
      <c r="C13" s="6">
        <v>0.54166666666666663</v>
      </c>
      <c r="D13" t="s">
        <v>35</v>
      </c>
      <c r="E13" t="s">
        <v>25</v>
      </c>
      <c r="F13" s="6">
        <v>0.53819444444444442</v>
      </c>
      <c r="H13" t="s">
        <v>217</v>
      </c>
      <c r="J13" t="s">
        <v>35</v>
      </c>
      <c r="K13" t="s">
        <v>36</v>
      </c>
      <c r="L13" s="6">
        <v>0.53125</v>
      </c>
      <c r="M13" t="s">
        <v>35</v>
      </c>
      <c r="N13" t="s">
        <v>25</v>
      </c>
      <c r="O13" s="6">
        <v>0.54166666666666663</v>
      </c>
      <c r="P13" t="s">
        <v>35</v>
      </c>
      <c r="Q13" t="s">
        <v>25</v>
      </c>
      <c r="R13" s="6">
        <v>0.54166666666666663</v>
      </c>
    </row>
    <row r="14" spans="1:18" x14ac:dyDescent="0.1">
      <c r="B14" t="s">
        <v>408</v>
      </c>
      <c r="E14" t="s">
        <v>439</v>
      </c>
      <c r="G14" t="s">
        <v>35</v>
      </c>
      <c r="H14" t="s">
        <v>56</v>
      </c>
      <c r="I14" s="6">
        <v>0.53472222222222221</v>
      </c>
      <c r="K14" t="s">
        <v>448</v>
      </c>
      <c r="N14" t="s">
        <v>408</v>
      </c>
      <c r="Q14" t="s">
        <v>76</v>
      </c>
    </row>
    <row r="15" spans="1:18" x14ac:dyDescent="0.1">
      <c r="A15" t="s">
        <v>38</v>
      </c>
      <c r="B15" t="s">
        <v>25</v>
      </c>
      <c r="C15" s="6">
        <v>0.5625</v>
      </c>
      <c r="D15" t="s">
        <v>38</v>
      </c>
      <c r="E15" t="s">
        <v>36</v>
      </c>
      <c r="F15" s="6">
        <v>0.55902777777777779</v>
      </c>
      <c r="H15" t="s">
        <v>75</v>
      </c>
      <c r="J15" t="s">
        <v>38</v>
      </c>
      <c r="K15" t="s">
        <v>36</v>
      </c>
      <c r="L15" s="6">
        <v>0.55208333333333337</v>
      </c>
      <c r="M15" t="s">
        <v>38</v>
      </c>
      <c r="N15" t="s">
        <v>25</v>
      </c>
      <c r="O15" s="6">
        <v>0.5625</v>
      </c>
      <c r="P15" t="s">
        <v>38</v>
      </c>
      <c r="Q15" t="s">
        <v>36</v>
      </c>
      <c r="R15" s="6">
        <v>0.5625</v>
      </c>
    </row>
    <row r="16" spans="1:18" x14ac:dyDescent="0.1">
      <c r="B16" t="s">
        <v>29</v>
      </c>
      <c r="E16" t="s">
        <v>114</v>
      </c>
      <c r="G16" t="s">
        <v>38</v>
      </c>
      <c r="H16" t="s">
        <v>25</v>
      </c>
      <c r="I16" s="6">
        <v>0.55555555555555558</v>
      </c>
      <c r="K16" t="s">
        <v>60</v>
      </c>
      <c r="N16" t="s">
        <v>158</v>
      </c>
      <c r="Q16" t="s">
        <v>520</v>
      </c>
    </row>
    <row r="17" spans="1:18" x14ac:dyDescent="0.1">
      <c r="A17" t="s">
        <v>40</v>
      </c>
      <c r="B17" t="s">
        <v>36</v>
      </c>
      <c r="C17" s="6">
        <v>0.58333333333333337</v>
      </c>
      <c r="D17" t="s">
        <v>40</v>
      </c>
      <c r="E17" t="s">
        <v>36</v>
      </c>
      <c r="F17" s="6">
        <v>0.57986111111111116</v>
      </c>
      <c r="H17" t="s">
        <v>408</v>
      </c>
      <c r="J17" t="s">
        <v>40</v>
      </c>
      <c r="K17" t="s">
        <v>36</v>
      </c>
      <c r="L17" s="6">
        <v>0.57291666666666663</v>
      </c>
      <c r="M17" t="s">
        <v>40</v>
      </c>
      <c r="N17" t="s">
        <v>36</v>
      </c>
      <c r="O17" s="6">
        <v>0.58333333333333337</v>
      </c>
      <c r="P17" t="s">
        <v>40</v>
      </c>
      <c r="Q17" t="s">
        <v>36</v>
      </c>
      <c r="R17" s="6">
        <v>0.58333333333333337</v>
      </c>
    </row>
    <row r="18" spans="1:18" x14ac:dyDescent="0.1">
      <c r="B18" t="s">
        <v>520</v>
      </c>
      <c r="E18" t="s">
        <v>115</v>
      </c>
      <c r="G18" t="s">
        <v>40</v>
      </c>
      <c r="H18" t="s">
        <v>36</v>
      </c>
      <c r="I18" s="6">
        <v>0.57638888888888884</v>
      </c>
      <c r="K18" t="s">
        <v>414</v>
      </c>
      <c r="N18" t="s">
        <v>48</v>
      </c>
      <c r="Q18" t="s">
        <v>115</v>
      </c>
    </row>
    <row r="19" spans="1:18" x14ac:dyDescent="0.1">
      <c r="A19" t="s">
        <v>42</v>
      </c>
      <c r="B19" t="s">
        <v>606</v>
      </c>
      <c r="C19" s="6">
        <v>0.60763888888888884</v>
      </c>
      <c r="D19" t="s">
        <v>42</v>
      </c>
      <c r="E19" t="s">
        <v>614</v>
      </c>
      <c r="F19" s="6">
        <v>0.60069444444444442</v>
      </c>
      <c r="H19" t="s">
        <v>111</v>
      </c>
      <c r="J19" t="s">
        <v>42</v>
      </c>
      <c r="K19" t="s">
        <v>639</v>
      </c>
      <c r="L19" s="6">
        <v>0.59375</v>
      </c>
      <c r="M19" t="s">
        <v>42</v>
      </c>
      <c r="N19" t="s">
        <v>657</v>
      </c>
      <c r="O19" s="6">
        <v>0.60763888888888884</v>
      </c>
      <c r="P19" t="s">
        <v>42</v>
      </c>
      <c r="Q19" t="s">
        <v>673</v>
      </c>
      <c r="R19" s="6">
        <v>0.60763888888888884</v>
      </c>
    </row>
    <row r="20" spans="1:18" x14ac:dyDescent="0.1">
      <c r="B20" t="s">
        <v>36</v>
      </c>
      <c r="E20" t="s">
        <v>44</v>
      </c>
      <c r="G20" t="s">
        <v>42</v>
      </c>
      <c r="H20" t="s">
        <v>626</v>
      </c>
      <c r="I20" s="6">
        <v>0.59722222222222221</v>
      </c>
      <c r="K20" t="s">
        <v>44</v>
      </c>
      <c r="N20" t="s">
        <v>44</v>
      </c>
      <c r="Q20" t="s">
        <v>44</v>
      </c>
    </row>
    <row r="21" spans="1:18" x14ac:dyDescent="0.1">
      <c r="B21" t="s">
        <v>190</v>
      </c>
      <c r="E21" t="s">
        <v>60</v>
      </c>
      <c r="H21" t="s">
        <v>44</v>
      </c>
      <c r="K21" t="s">
        <v>115</v>
      </c>
      <c r="N21" t="s">
        <v>658</v>
      </c>
      <c r="Q21" t="s">
        <v>114</v>
      </c>
    </row>
    <row r="22" spans="1:18" x14ac:dyDescent="0.1">
      <c r="A22" t="s">
        <v>46</v>
      </c>
      <c r="B22" t="s">
        <v>607</v>
      </c>
      <c r="C22" s="6">
        <v>0.63194444444444442</v>
      </c>
      <c r="D22" t="s">
        <v>46</v>
      </c>
      <c r="E22" t="s">
        <v>615</v>
      </c>
      <c r="F22" s="6">
        <v>0.625</v>
      </c>
      <c r="H22" t="s">
        <v>448</v>
      </c>
      <c r="J22" t="s">
        <v>46</v>
      </c>
      <c r="K22" t="s">
        <v>640</v>
      </c>
      <c r="L22" s="6">
        <v>0.61805555555555558</v>
      </c>
      <c r="M22" t="s">
        <v>46</v>
      </c>
      <c r="N22" t="s">
        <v>659</v>
      </c>
      <c r="O22" s="6">
        <v>0.63194444444444442</v>
      </c>
      <c r="P22" t="s">
        <v>46</v>
      </c>
      <c r="Q22" t="s">
        <v>674</v>
      </c>
      <c r="R22" s="6">
        <v>0.63194444444444442</v>
      </c>
    </row>
    <row r="23" spans="1:18" x14ac:dyDescent="0.1">
      <c r="B23" t="s">
        <v>44</v>
      </c>
      <c r="E23" t="s">
        <v>44</v>
      </c>
      <c r="G23" t="s">
        <v>46</v>
      </c>
      <c r="H23" t="s">
        <v>627</v>
      </c>
      <c r="I23" s="6">
        <v>0.62152777777777779</v>
      </c>
      <c r="K23" t="s">
        <v>71</v>
      </c>
      <c r="N23" t="s">
        <v>44</v>
      </c>
      <c r="Q23" t="s">
        <v>71</v>
      </c>
    </row>
    <row r="24" spans="1:18" x14ac:dyDescent="0.1">
      <c r="B24" t="s">
        <v>321</v>
      </c>
      <c r="E24" t="s">
        <v>114</v>
      </c>
      <c r="H24" t="s">
        <v>71</v>
      </c>
      <c r="K24" t="s">
        <v>190</v>
      </c>
      <c r="N24" t="s">
        <v>111</v>
      </c>
      <c r="Q24" t="s">
        <v>111</v>
      </c>
    </row>
    <row r="25" spans="1:18" x14ac:dyDescent="0.1">
      <c r="A25" t="s">
        <v>49</v>
      </c>
      <c r="B25" t="s">
        <v>608</v>
      </c>
      <c r="C25" s="6">
        <v>0.65625</v>
      </c>
      <c r="D25" t="s">
        <v>49</v>
      </c>
      <c r="E25" t="s">
        <v>616</v>
      </c>
      <c r="F25" s="6">
        <v>0.65277777777777779</v>
      </c>
      <c r="H25" t="s">
        <v>414</v>
      </c>
      <c r="J25" t="s">
        <v>49</v>
      </c>
      <c r="K25" t="s">
        <v>641</v>
      </c>
      <c r="L25" s="6">
        <v>0.64236111111111116</v>
      </c>
      <c r="M25" t="s">
        <v>49</v>
      </c>
      <c r="N25" t="s">
        <v>660</v>
      </c>
      <c r="O25" s="6">
        <v>0.65625</v>
      </c>
      <c r="P25" t="s">
        <v>49</v>
      </c>
      <c r="Q25" t="s">
        <v>675</v>
      </c>
      <c r="R25" s="6">
        <v>0.65625</v>
      </c>
    </row>
    <row r="26" spans="1:18" x14ac:dyDescent="0.1">
      <c r="B26" t="s">
        <v>71</v>
      </c>
      <c r="E26" t="s">
        <v>617</v>
      </c>
      <c r="G26" t="s">
        <v>49</v>
      </c>
      <c r="H26" t="s">
        <v>628</v>
      </c>
      <c r="I26" s="6">
        <v>0.64583333333333337</v>
      </c>
      <c r="K26" t="s">
        <v>642</v>
      </c>
      <c r="N26" t="s">
        <v>51</v>
      </c>
      <c r="Q26" t="s">
        <v>51</v>
      </c>
    </row>
    <row r="27" spans="1:18" x14ac:dyDescent="0.1">
      <c r="B27" t="s">
        <v>356</v>
      </c>
      <c r="E27" t="s">
        <v>51</v>
      </c>
      <c r="H27" t="s">
        <v>51</v>
      </c>
      <c r="K27" t="s">
        <v>51</v>
      </c>
      <c r="N27" t="s">
        <v>661</v>
      </c>
      <c r="Q27" t="s">
        <v>676</v>
      </c>
    </row>
    <row r="28" spans="1:18" x14ac:dyDescent="0.1">
      <c r="A28" t="s">
        <v>53</v>
      </c>
      <c r="B28" t="s">
        <v>36</v>
      </c>
      <c r="C28" s="6">
        <v>0.6875</v>
      </c>
      <c r="E28" t="s">
        <v>115</v>
      </c>
      <c r="H28" t="s">
        <v>194</v>
      </c>
      <c r="K28" t="s">
        <v>321</v>
      </c>
      <c r="M28" t="s">
        <v>53</v>
      </c>
      <c r="N28" t="s">
        <v>36</v>
      </c>
      <c r="O28" s="6">
        <v>0.6875</v>
      </c>
      <c r="P28" t="s">
        <v>53</v>
      </c>
      <c r="Q28" t="s">
        <v>36</v>
      </c>
      <c r="R28" s="6">
        <v>0.6875</v>
      </c>
    </row>
    <row r="29" spans="1:18" x14ac:dyDescent="0.1">
      <c r="B29" t="s">
        <v>414</v>
      </c>
      <c r="D29" t="s">
        <v>53</v>
      </c>
      <c r="E29" t="s">
        <v>618</v>
      </c>
      <c r="F29" s="6">
        <v>0.6875</v>
      </c>
      <c r="G29" t="s">
        <v>53</v>
      </c>
      <c r="H29" t="s">
        <v>36</v>
      </c>
      <c r="I29" s="6">
        <v>0.67708333333333337</v>
      </c>
      <c r="J29" t="s">
        <v>53</v>
      </c>
      <c r="K29" t="s">
        <v>44</v>
      </c>
      <c r="L29" s="6">
        <v>0.67708333333333337</v>
      </c>
      <c r="N29" t="s">
        <v>414</v>
      </c>
      <c r="Q29" t="s">
        <v>114</v>
      </c>
    </row>
    <row r="30" spans="1:18" x14ac:dyDescent="0.1">
      <c r="E30" t="s">
        <v>44</v>
      </c>
      <c r="H30" t="s">
        <v>114</v>
      </c>
      <c r="K30" t="s">
        <v>414</v>
      </c>
    </row>
    <row r="31" spans="1:18" x14ac:dyDescent="0.1">
      <c r="E31" t="s">
        <v>414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24704-AB53-48A5-A678-11976F45D98D}">
  <sheetPr codeName="Sheet19"/>
  <dimension ref="A1:R31"/>
  <sheetViews>
    <sheetView workbookViewId="0"/>
  </sheetViews>
  <sheetFormatPr defaultRowHeight="13.5" x14ac:dyDescent="0.1"/>
  <cols>
    <col min="1" max="1" width="11.1796875" bestFit="1" customWidth="1"/>
    <col min="2" max="2" width="17.1796875" bestFit="1" customWidth="1"/>
    <col min="3" max="3" width="9.26953125" bestFit="1" customWidth="1"/>
    <col min="4" max="4" width="11.1796875" bestFit="1" customWidth="1"/>
    <col min="5" max="5" width="18.81640625" bestFit="1" customWidth="1"/>
    <col min="6" max="6" width="9.26953125" bestFit="1" customWidth="1"/>
    <col min="7" max="7" width="11.1796875" bestFit="1" customWidth="1"/>
    <col min="8" max="8" width="21.26953125" bestFit="1" customWidth="1"/>
    <col min="9" max="9" width="9.26953125" bestFit="1" customWidth="1"/>
    <col min="10" max="10" width="11.1796875" bestFit="1" customWidth="1"/>
    <col min="11" max="11" width="22.2265625" bestFit="1" customWidth="1"/>
    <col min="12" max="12" width="9.26953125" bestFit="1" customWidth="1"/>
    <col min="13" max="13" width="11.1796875" bestFit="1" customWidth="1"/>
    <col min="14" max="14" width="20.1796875" bestFit="1" customWidth="1"/>
    <col min="15" max="15" width="9.26953125" bestFit="1" customWidth="1"/>
    <col min="16" max="16" width="11.1796875" bestFit="1" customWidth="1"/>
    <col min="17" max="17" width="29.1796875" bestFit="1" customWidth="1"/>
    <col min="18" max="18" width="9.26953125" bestFit="1" customWidth="1"/>
  </cols>
  <sheetData>
    <row r="1" spans="1:18" x14ac:dyDescent="0.1">
      <c r="A1" t="s">
        <v>609</v>
      </c>
      <c r="D1" t="s">
        <v>619</v>
      </c>
      <c r="G1" t="s">
        <v>629</v>
      </c>
      <c r="J1" t="s">
        <v>643</v>
      </c>
      <c r="M1" t="s">
        <v>662</v>
      </c>
      <c r="P1" t="s">
        <v>677</v>
      </c>
    </row>
    <row r="2" spans="1:18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</row>
    <row r="3" spans="1:18" x14ac:dyDescent="0.1">
      <c r="A3" t="s">
        <v>24</v>
      </c>
      <c r="B3" t="s">
        <v>25</v>
      </c>
      <c r="C3" s="6">
        <v>0.40972222222222221</v>
      </c>
      <c r="D3" t="s">
        <v>24</v>
      </c>
      <c r="E3" t="s">
        <v>87</v>
      </c>
      <c r="F3" s="6">
        <v>0.40625</v>
      </c>
      <c r="G3" t="s">
        <v>24</v>
      </c>
      <c r="H3" t="s">
        <v>25</v>
      </c>
      <c r="I3" s="6">
        <v>0.40625</v>
      </c>
      <c r="J3" t="s">
        <v>24</v>
      </c>
      <c r="K3" t="s">
        <v>25</v>
      </c>
      <c r="L3" s="6">
        <v>0.4201388888888889</v>
      </c>
      <c r="M3" t="s">
        <v>24</v>
      </c>
      <c r="N3" t="s">
        <v>163</v>
      </c>
      <c r="O3" s="6">
        <v>0.41319444444444442</v>
      </c>
      <c r="P3" t="s">
        <v>24</v>
      </c>
      <c r="Q3" t="s">
        <v>25</v>
      </c>
      <c r="R3" s="6">
        <v>0.41319444444444442</v>
      </c>
    </row>
    <row r="4" spans="1:18" x14ac:dyDescent="0.1">
      <c r="B4" t="s">
        <v>158</v>
      </c>
      <c r="E4" t="s">
        <v>338</v>
      </c>
      <c r="H4" t="s">
        <v>222</v>
      </c>
      <c r="K4" t="s">
        <v>84</v>
      </c>
      <c r="N4" t="s">
        <v>663</v>
      </c>
      <c r="Q4" t="s">
        <v>77</v>
      </c>
    </row>
    <row r="5" spans="1:18" x14ac:dyDescent="0.1">
      <c r="A5" t="s">
        <v>27</v>
      </c>
      <c r="B5" t="s">
        <v>25</v>
      </c>
      <c r="C5" s="6">
        <v>0.43402777777777779</v>
      </c>
      <c r="D5" t="s">
        <v>27</v>
      </c>
      <c r="E5" t="s">
        <v>25</v>
      </c>
      <c r="F5" s="6">
        <v>0.43055555555555558</v>
      </c>
      <c r="G5" t="s">
        <v>27</v>
      </c>
      <c r="H5" t="s">
        <v>25</v>
      </c>
      <c r="I5" s="6">
        <v>0.42708333333333331</v>
      </c>
      <c r="J5" t="s">
        <v>27</v>
      </c>
      <c r="K5" t="s">
        <v>25</v>
      </c>
      <c r="L5" s="6">
        <v>0.44097222222222221</v>
      </c>
      <c r="M5" t="s">
        <v>27</v>
      </c>
      <c r="N5" t="s">
        <v>25</v>
      </c>
      <c r="O5" s="6">
        <v>0.4375</v>
      </c>
      <c r="P5" t="s">
        <v>27</v>
      </c>
      <c r="Q5" t="s">
        <v>25</v>
      </c>
      <c r="R5" s="6">
        <v>0.4375</v>
      </c>
    </row>
    <row r="6" spans="1:18" x14ac:dyDescent="0.1">
      <c r="B6" t="s">
        <v>122</v>
      </c>
      <c r="E6" t="s">
        <v>143</v>
      </c>
      <c r="H6" t="s">
        <v>337</v>
      </c>
      <c r="K6" t="s">
        <v>77</v>
      </c>
      <c r="N6" t="s">
        <v>122</v>
      </c>
      <c r="Q6" t="s">
        <v>142</v>
      </c>
    </row>
    <row r="7" spans="1:18" x14ac:dyDescent="0.1">
      <c r="A7" t="s">
        <v>30</v>
      </c>
      <c r="B7" t="s">
        <v>25</v>
      </c>
      <c r="C7" s="6">
        <v>0.4548611111111111</v>
      </c>
      <c r="D7" t="s">
        <v>30</v>
      </c>
      <c r="E7" t="s">
        <v>25</v>
      </c>
      <c r="F7" s="6">
        <v>0.4513888888888889</v>
      </c>
      <c r="G7" t="s">
        <v>30</v>
      </c>
      <c r="H7" t="s">
        <v>25</v>
      </c>
      <c r="I7" s="6">
        <v>0.44791666666666669</v>
      </c>
      <c r="J7" t="s">
        <v>30</v>
      </c>
      <c r="K7" t="s">
        <v>25</v>
      </c>
      <c r="L7" s="6">
        <v>0.46180555555555558</v>
      </c>
      <c r="M7" t="s">
        <v>30</v>
      </c>
      <c r="N7" t="s">
        <v>25</v>
      </c>
      <c r="O7" s="6">
        <v>0.45833333333333331</v>
      </c>
      <c r="P7" t="s">
        <v>30</v>
      </c>
      <c r="Q7" t="s">
        <v>25</v>
      </c>
      <c r="R7" s="6">
        <v>0.45833333333333331</v>
      </c>
    </row>
    <row r="8" spans="1:18" x14ac:dyDescent="0.1">
      <c r="B8" t="s">
        <v>84</v>
      </c>
      <c r="E8" t="s">
        <v>89</v>
      </c>
      <c r="H8" t="s">
        <v>117</v>
      </c>
      <c r="K8" t="s">
        <v>89</v>
      </c>
      <c r="N8" t="s">
        <v>84</v>
      </c>
      <c r="Q8" t="s">
        <v>89</v>
      </c>
    </row>
    <row r="9" spans="1:18" x14ac:dyDescent="0.1">
      <c r="A9" t="s">
        <v>32</v>
      </c>
      <c r="B9" t="s">
        <v>25</v>
      </c>
      <c r="C9" s="6">
        <v>0.47569444444444442</v>
      </c>
      <c r="D9" t="s">
        <v>32</v>
      </c>
      <c r="E9" t="s">
        <v>25</v>
      </c>
      <c r="F9" s="6">
        <v>0.47222222222222221</v>
      </c>
      <c r="G9" t="s">
        <v>32</v>
      </c>
      <c r="H9" t="s">
        <v>25</v>
      </c>
      <c r="I9" s="6">
        <v>0.47222222222222221</v>
      </c>
      <c r="J9" t="s">
        <v>32</v>
      </c>
      <c r="K9" t="s">
        <v>25</v>
      </c>
      <c r="L9" s="6">
        <v>0.4826388888888889</v>
      </c>
      <c r="M9" t="s">
        <v>32</v>
      </c>
      <c r="N9" t="s">
        <v>25</v>
      </c>
      <c r="O9" s="6">
        <v>0.47916666666666669</v>
      </c>
      <c r="P9" t="s">
        <v>32</v>
      </c>
      <c r="Q9" t="s">
        <v>25</v>
      </c>
      <c r="R9" s="6">
        <v>0.47916666666666669</v>
      </c>
    </row>
    <row r="10" spans="1:18" x14ac:dyDescent="0.1">
      <c r="B10" t="s">
        <v>33</v>
      </c>
      <c r="E10" t="s">
        <v>77</v>
      </c>
      <c r="H10" t="s">
        <v>90</v>
      </c>
      <c r="K10" t="s">
        <v>108</v>
      </c>
      <c r="N10" t="s">
        <v>89</v>
      </c>
      <c r="Q10" t="s">
        <v>354</v>
      </c>
    </row>
    <row r="11" spans="1:18" x14ac:dyDescent="0.1">
      <c r="A11" t="s">
        <v>34</v>
      </c>
      <c r="B11" t="s">
        <v>56</v>
      </c>
      <c r="C11" s="6">
        <v>0.51041666666666663</v>
      </c>
      <c r="D11" t="s">
        <v>34</v>
      </c>
      <c r="E11" t="s">
        <v>56</v>
      </c>
      <c r="F11" s="6">
        <v>0.50694444444444442</v>
      </c>
      <c r="G11" t="s">
        <v>34</v>
      </c>
      <c r="H11" t="s">
        <v>56</v>
      </c>
      <c r="I11" s="6">
        <v>0.50694444444444442</v>
      </c>
      <c r="J11" t="s">
        <v>34</v>
      </c>
      <c r="K11" t="s">
        <v>56</v>
      </c>
      <c r="L11" s="6">
        <v>0.51736111111111116</v>
      </c>
      <c r="M11" t="s">
        <v>34</v>
      </c>
      <c r="N11" t="s">
        <v>56</v>
      </c>
      <c r="O11" s="6">
        <v>0.51388888888888884</v>
      </c>
      <c r="P11" t="s">
        <v>34</v>
      </c>
      <c r="Q11" t="s">
        <v>56</v>
      </c>
      <c r="R11" s="6">
        <v>0.51388888888888884</v>
      </c>
    </row>
    <row r="12" spans="1:18" x14ac:dyDescent="0.1">
      <c r="B12" t="s">
        <v>117</v>
      </c>
      <c r="E12" t="s">
        <v>75</v>
      </c>
      <c r="H12" t="s">
        <v>33</v>
      </c>
      <c r="K12" t="s">
        <v>90</v>
      </c>
      <c r="N12" t="s">
        <v>75</v>
      </c>
      <c r="Q12" t="s">
        <v>117</v>
      </c>
    </row>
    <row r="13" spans="1:18" x14ac:dyDescent="0.1">
      <c r="A13" t="s">
        <v>35</v>
      </c>
      <c r="B13" t="s">
        <v>25</v>
      </c>
      <c r="C13" s="6">
        <v>0.53125</v>
      </c>
      <c r="D13" t="s">
        <v>35</v>
      </c>
      <c r="E13" t="s">
        <v>25</v>
      </c>
      <c r="F13" s="6">
        <v>0.52777777777777779</v>
      </c>
      <c r="G13" t="s">
        <v>35</v>
      </c>
      <c r="H13" t="s">
        <v>56</v>
      </c>
      <c r="I13" s="6">
        <v>0.52777777777777779</v>
      </c>
      <c r="J13" t="s">
        <v>35</v>
      </c>
      <c r="K13" t="s">
        <v>36</v>
      </c>
      <c r="L13" s="6">
        <v>0.53819444444444442</v>
      </c>
      <c r="M13" t="s">
        <v>35</v>
      </c>
      <c r="N13" t="s">
        <v>25</v>
      </c>
      <c r="O13" s="6">
        <v>0.53472222222222221</v>
      </c>
      <c r="P13" t="s">
        <v>35</v>
      </c>
      <c r="Q13" t="s">
        <v>25</v>
      </c>
      <c r="R13" s="6">
        <v>0.53472222222222221</v>
      </c>
    </row>
    <row r="14" spans="1:18" x14ac:dyDescent="0.1">
      <c r="B14" t="s">
        <v>89</v>
      </c>
      <c r="E14" t="s">
        <v>29</v>
      </c>
      <c r="H14" t="s">
        <v>77</v>
      </c>
      <c r="K14" t="s">
        <v>85</v>
      </c>
      <c r="N14" t="s">
        <v>90</v>
      </c>
      <c r="Q14" t="s">
        <v>75</v>
      </c>
    </row>
    <row r="15" spans="1:18" x14ac:dyDescent="0.1">
      <c r="A15" t="s">
        <v>38</v>
      </c>
      <c r="B15" t="s">
        <v>25</v>
      </c>
      <c r="C15" s="6">
        <v>0.55208333333333337</v>
      </c>
      <c r="D15" t="s">
        <v>38</v>
      </c>
      <c r="E15" t="s">
        <v>36</v>
      </c>
      <c r="F15" s="6">
        <v>0.54861111111111116</v>
      </c>
      <c r="G15" t="s">
        <v>38</v>
      </c>
      <c r="H15" t="s">
        <v>36</v>
      </c>
      <c r="I15" s="6">
        <v>0.54861111111111116</v>
      </c>
      <c r="J15" t="s">
        <v>38</v>
      </c>
      <c r="K15" t="s">
        <v>36</v>
      </c>
      <c r="L15" s="6">
        <v>0.55902777777777779</v>
      </c>
      <c r="M15" t="s">
        <v>38</v>
      </c>
      <c r="N15" t="s">
        <v>36</v>
      </c>
      <c r="O15" s="6">
        <v>0.55555555555555558</v>
      </c>
      <c r="P15" t="s">
        <v>38</v>
      </c>
      <c r="Q15" t="s">
        <v>36</v>
      </c>
      <c r="R15" s="6">
        <v>0.55555555555555558</v>
      </c>
    </row>
    <row r="16" spans="1:18" x14ac:dyDescent="0.1">
      <c r="B16" t="s">
        <v>117</v>
      </c>
      <c r="E16" t="s">
        <v>113</v>
      </c>
      <c r="H16" t="s">
        <v>78</v>
      </c>
      <c r="K16" t="s">
        <v>60</v>
      </c>
      <c r="N16" t="s">
        <v>268</v>
      </c>
      <c r="Q16" t="s">
        <v>114</v>
      </c>
    </row>
    <row r="17" spans="1:18" x14ac:dyDescent="0.1">
      <c r="A17" t="s">
        <v>40</v>
      </c>
      <c r="B17" t="s">
        <v>36</v>
      </c>
      <c r="C17" s="6">
        <v>0.57291666666666663</v>
      </c>
      <c r="D17" t="s">
        <v>40</v>
      </c>
      <c r="E17" t="s">
        <v>36</v>
      </c>
      <c r="F17" s="6">
        <v>0.56944444444444442</v>
      </c>
      <c r="G17" t="s">
        <v>40</v>
      </c>
      <c r="H17" t="s">
        <v>36</v>
      </c>
      <c r="I17" s="6">
        <v>0.56944444444444442</v>
      </c>
      <c r="J17" t="s">
        <v>40</v>
      </c>
      <c r="K17" t="s">
        <v>644</v>
      </c>
      <c r="L17" s="6">
        <v>0.57986111111111116</v>
      </c>
      <c r="M17" t="s">
        <v>40</v>
      </c>
      <c r="N17" t="s">
        <v>36</v>
      </c>
      <c r="O17" s="6">
        <v>0.57638888888888884</v>
      </c>
      <c r="P17" t="s">
        <v>40</v>
      </c>
      <c r="Q17" t="s">
        <v>36</v>
      </c>
      <c r="R17" s="6">
        <v>0.57638888888888884</v>
      </c>
    </row>
    <row r="18" spans="1:18" x14ac:dyDescent="0.1">
      <c r="B18" t="s">
        <v>83</v>
      </c>
      <c r="E18" t="s">
        <v>111</v>
      </c>
      <c r="H18" t="s">
        <v>630</v>
      </c>
      <c r="K18" t="s">
        <v>44</v>
      </c>
      <c r="N18" t="s">
        <v>78</v>
      </c>
      <c r="Q18" t="s">
        <v>135</v>
      </c>
    </row>
    <row r="19" spans="1:18" x14ac:dyDescent="0.1">
      <c r="A19" t="s">
        <v>42</v>
      </c>
      <c r="B19" t="s">
        <v>610</v>
      </c>
      <c r="C19" s="6">
        <v>0.59722222222222221</v>
      </c>
      <c r="D19" t="s">
        <v>42</v>
      </c>
      <c r="E19" t="s">
        <v>620</v>
      </c>
      <c r="F19" s="6">
        <v>0.59027777777777779</v>
      </c>
      <c r="G19" t="s">
        <v>42</v>
      </c>
      <c r="H19" t="s">
        <v>631</v>
      </c>
      <c r="I19" s="6">
        <v>0.59027777777777779</v>
      </c>
      <c r="K19" t="s">
        <v>113</v>
      </c>
      <c r="M19" t="s">
        <v>42</v>
      </c>
      <c r="N19" t="s">
        <v>664</v>
      </c>
      <c r="O19" s="6">
        <v>0.59722222222222221</v>
      </c>
      <c r="P19" t="s">
        <v>42</v>
      </c>
      <c r="Q19" t="s">
        <v>678</v>
      </c>
      <c r="R19" s="6">
        <v>0.59722222222222221</v>
      </c>
    </row>
    <row r="20" spans="1:18" x14ac:dyDescent="0.1">
      <c r="B20" t="s">
        <v>36</v>
      </c>
      <c r="E20" t="s">
        <v>44</v>
      </c>
      <c r="H20" t="s">
        <v>44</v>
      </c>
      <c r="J20" t="s">
        <v>42</v>
      </c>
      <c r="K20" t="s">
        <v>645</v>
      </c>
      <c r="L20" s="6">
        <v>0.60069444444444442</v>
      </c>
      <c r="N20" t="s">
        <v>44</v>
      </c>
      <c r="Q20" t="s">
        <v>44</v>
      </c>
    </row>
    <row r="21" spans="1:18" x14ac:dyDescent="0.1">
      <c r="B21" t="s">
        <v>185</v>
      </c>
      <c r="E21" t="s">
        <v>114</v>
      </c>
      <c r="H21" t="s">
        <v>83</v>
      </c>
      <c r="K21" t="s">
        <v>44</v>
      </c>
      <c r="N21" t="s">
        <v>167</v>
      </c>
      <c r="Q21" t="s">
        <v>60</v>
      </c>
    </row>
    <row r="22" spans="1:18" x14ac:dyDescent="0.1">
      <c r="A22" t="s">
        <v>46</v>
      </c>
      <c r="B22" t="s">
        <v>611</v>
      </c>
      <c r="C22" s="6">
        <v>0.62152777777777779</v>
      </c>
      <c r="D22" t="s">
        <v>46</v>
      </c>
      <c r="E22" t="s">
        <v>621</v>
      </c>
      <c r="F22" s="6">
        <v>0.61458333333333337</v>
      </c>
      <c r="G22" t="s">
        <v>46</v>
      </c>
      <c r="H22" t="s">
        <v>632</v>
      </c>
      <c r="I22" s="6">
        <v>0.61458333333333337</v>
      </c>
      <c r="K22" t="s">
        <v>39</v>
      </c>
      <c r="M22" t="s">
        <v>46</v>
      </c>
      <c r="N22" t="s">
        <v>665</v>
      </c>
      <c r="O22" s="6">
        <v>0.62152777777777779</v>
      </c>
      <c r="P22" t="s">
        <v>46</v>
      </c>
      <c r="Q22" t="s">
        <v>679</v>
      </c>
      <c r="R22" s="6">
        <v>0.62152777777777779</v>
      </c>
    </row>
    <row r="23" spans="1:18" x14ac:dyDescent="0.1">
      <c r="B23" t="s">
        <v>44</v>
      </c>
      <c r="E23" t="s">
        <v>44</v>
      </c>
      <c r="H23" t="s">
        <v>44</v>
      </c>
      <c r="J23" t="s">
        <v>46</v>
      </c>
      <c r="K23" t="s">
        <v>646</v>
      </c>
      <c r="L23" s="6">
        <v>0.625</v>
      </c>
      <c r="N23" t="s">
        <v>71</v>
      </c>
      <c r="Q23" t="s">
        <v>71</v>
      </c>
    </row>
    <row r="24" spans="1:18" x14ac:dyDescent="0.1">
      <c r="B24" t="s">
        <v>78</v>
      </c>
      <c r="E24" t="s">
        <v>185</v>
      </c>
      <c r="H24" t="s">
        <v>85</v>
      </c>
      <c r="K24" t="s">
        <v>71</v>
      </c>
      <c r="N24" t="s">
        <v>666</v>
      </c>
      <c r="Q24" t="s">
        <v>78</v>
      </c>
    </row>
    <row r="25" spans="1:18" x14ac:dyDescent="0.1">
      <c r="A25" t="s">
        <v>49</v>
      </c>
      <c r="B25" t="s">
        <v>612</v>
      </c>
      <c r="C25" s="6">
        <v>0.64583333333333337</v>
      </c>
      <c r="D25" t="s">
        <v>49</v>
      </c>
      <c r="E25" t="s">
        <v>622</v>
      </c>
      <c r="F25" s="6">
        <v>0.63888888888888884</v>
      </c>
      <c r="G25" t="s">
        <v>49</v>
      </c>
      <c r="H25" t="s">
        <v>633</v>
      </c>
      <c r="I25" s="6">
        <v>0.63888888888888884</v>
      </c>
      <c r="K25" t="s">
        <v>171</v>
      </c>
      <c r="M25" t="s">
        <v>49</v>
      </c>
      <c r="N25" t="s">
        <v>667</v>
      </c>
      <c r="O25" s="6">
        <v>0.64583333333333337</v>
      </c>
      <c r="P25" t="s">
        <v>49</v>
      </c>
      <c r="Q25" t="s">
        <v>179</v>
      </c>
      <c r="R25" s="6">
        <v>0.64583333333333337</v>
      </c>
    </row>
    <row r="26" spans="1:18" x14ac:dyDescent="0.1">
      <c r="B26" t="s">
        <v>71</v>
      </c>
      <c r="E26" t="s">
        <v>51</v>
      </c>
      <c r="H26" t="s">
        <v>51</v>
      </c>
      <c r="J26" t="s">
        <v>49</v>
      </c>
      <c r="K26" t="s">
        <v>647</v>
      </c>
      <c r="L26" s="6">
        <v>0.65277777777777779</v>
      </c>
      <c r="N26" t="s">
        <v>51</v>
      </c>
      <c r="Q26" t="s">
        <v>680</v>
      </c>
    </row>
    <row r="27" spans="1:18" x14ac:dyDescent="0.1">
      <c r="B27" t="s">
        <v>60</v>
      </c>
      <c r="E27" t="s">
        <v>188</v>
      </c>
      <c r="H27" t="s">
        <v>138</v>
      </c>
      <c r="K27" t="s">
        <v>51</v>
      </c>
      <c r="N27" t="s">
        <v>366</v>
      </c>
      <c r="Q27" t="s">
        <v>51</v>
      </c>
    </row>
    <row r="28" spans="1:18" x14ac:dyDescent="0.1">
      <c r="A28" t="s">
        <v>53</v>
      </c>
      <c r="B28" t="s">
        <v>36</v>
      </c>
      <c r="C28" s="6">
        <v>0.67708333333333337</v>
      </c>
      <c r="D28" t="s">
        <v>53</v>
      </c>
      <c r="E28" t="s">
        <v>36</v>
      </c>
      <c r="F28" s="6">
        <v>0.67708333333333337</v>
      </c>
      <c r="G28" t="s">
        <v>53</v>
      </c>
      <c r="H28" t="s">
        <v>36</v>
      </c>
      <c r="I28" s="6">
        <v>0.67013888888888884</v>
      </c>
      <c r="K28" t="s">
        <v>83</v>
      </c>
      <c r="M28" t="s">
        <v>53</v>
      </c>
      <c r="N28" t="s">
        <v>36</v>
      </c>
      <c r="O28" s="6">
        <v>0.67708333333333337</v>
      </c>
      <c r="Q28" t="s">
        <v>342</v>
      </c>
    </row>
    <row r="29" spans="1:18" x14ac:dyDescent="0.1">
      <c r="B29" t="s">
        <v>114</v>
      </c>
      <c r="E29" t="s">
        <v>78</v>
      </c>
      <c r="H29" t="s">
        <v>39</v>
      </c>
      <c r="J29" t="s">
        <v>53</v>
      </c>
      <c r="K29" t="s">
        <v>648</v>
      </c>
      <c r="L29" s="6">
        <v>0.6875</v>
      </c>
      <c r="N29" t="s">
        <v>171</v>
      </c>
      <c r="P29" t="s">
        <v>53</v>
      </c>
      <c r="Q29" t="s">
        <v>44</v>
      </c>
      <c r="R29" s="6">
        <v>0.67708333333333337</v>
      </c>
    </row>
    <row r="30" spans="1:18" x14ac:dyDescent="0.1">
      <c r="K30" t="s">
        <v>71</v>
      </c>
      <c r="Q30" t="s">
        <v>78</v>
      </c>
    </row>
    <row r="31" spans="1:18" x14ac:dyDescent="0.1">
      <c r="K31" t="s">
        <v>188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6A171-3D35-448F-ACBC-E82EA42E3FBD}">
  <sheetPr codeName="Sheet20"/>
  <dimension ref="A1:AJ33"/>
  <sheetViews>
    <sheetView workbookViewId="0"/>
  </sheetViews>
  <sheetFormatPr defaultRowHeight="13.5" x14ac:dyDescent="0.1"/>
  <cols>
    <col min="1" max="1" width="11.1796875" bestFit="1" customWidth="1"/>
    <col min="2" max="2" width="36.1328125" bestFit="1" customWidth="1"/>
    <col min="3" max="3" width="9.26953125" bestFit="1" customWidth="1"/>
    <col min="4" max="4" width="11.1796875" bestFit="1" customWidth="1"/>
    <col min="5" max="5" width="23.1796875" bestFit="1" customWidth="1"/>
    <col min="6" max="6" width="9.26953125" bestFit="1" customWidth="1"/>
    <col min="7" max="7" width="11.1796875" bestFit="1" customWidth="1"/>
    <col min="8" max="8" width="16.76953125" bestFit="1" customWidth="1"/>
    <col min="9" max="9" width="9.26953125" bestFit="1" customWidth="1"/>
    <col min="10" max="10" width="11.1796875" bestFit="1" customWidth="1"/>
    <col min="11" max="11" width="18.26953125" bestFit="1" customWidth="1"/>
    <col min="12" max="12" width="9.26953125" bestFit="1" customWidth="1"/>
    <col min="13" max="13" width="11.1796875" bestFit="1" customWidth="1"/>
    <col min="14" max="14" width="16.76953125" bestFit="1" customWidth="1"/>
    <col min="15" max="15" width="9.26953125" bestFit="1" customWidth="1"/>
    <col min="16" max="16" width="11.1796875" bestFit="1" customWidth="1"/>
    <col min="17" max="17" width="27.54296875" bestFit="1" customWidth="1"/>
    <col min="18" max="18" width="9.26953125" bestFit="1" customWidth="1"/>
    <col min="19" max="19" width="11.1796875" bestFit="1" customWidth="1"/>
    <col min="20" max="20" width="18.26953125" bestFit="1" customWidth="1"/>
    <col min="21" max="21" width="9.26953125" bestFit="1" customWidth="1"/>
    <col min="22" max="22" width="11.1796875" bestFit="1" customWidth="1"/>
    <col min="23" max="23" width="18.26953125" bestFit="1" customWidth="1"/>
    <col min="24" max="24" width="9.26953125" customWidth="1"/>
    <col min="25" max="25" width="11.1796875" bestFit="1" customWidth="1"/>
    <col min="26" max="26" width="18.26953125" bestFit="1" customWidth="1"/>
    <col min="27" max="27" width="9.26953125" bestFit="1" customWidth="1"/>
    <col min="28" max="28" width="12.26953125" bestFit="1" customWidth="1"/>
    <col min="29" max="29" width="18.1328125" bestFit="1" customWidth="1"/>
    <col min="30" max="30" width="9.26953125" bestFit="1" customWidth="1"/>
    <col min="31" max="31" width="12.26953125" bestFit="1" customWidth="1"/>
    <col min="32" max="32" width="26.58984375" bestFit="1" customWidth="1"/>
    <col min="33" max="33" width="9.26953125" bestFit="1" customWidth="1"/>
    <col min="34" max="34" width="12.26953125" bestFit="1" customWidth="1"/>
    <col min="35" max="35" width="30.81640625" bestFit="1" customWidth="1"/>
    <col min="36" max="36" width="9.26953125" bestFit="1" customWidth="1"/>
  </cols>
  <sheetData>
    <row r="1" spans="1:36" x14ac:dyDescent="0.1">
      <c r="A1" t="s">
        <v>634</v>
      </c>
      <c r="D1" t="s">
        <v>649</v>
      </c>
      <c r="G1" t="s">
        <v>668</v>
      </c>
      <c r="J1" t="s">
        <v>681</v>
      </c>
      <c r="M1" t="s">
        <v>696</v>
      </c>
      <c r="P1" t="s">
        <v>1153</v>
      </c>
      <c r="S1" t="s">
        <v>722</v>
      </c>
      <c r="V1" t="s">
        <v>820</v>
      </c>
      <c r="Y1" t="s">
        <v>735</v>
      </c>
      <c r="AB1" t="s">
        <v>758</v>
      </c>
      <c r="AE1" t="s">
        <v>773</v>
      </c>
      <c r="AH1" t="s">
        <v>789</v>
      </c>
    </row>
    <row r="2" spans="1:36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  <c r="AB2" t="s">
        <v>21</v>
      </c>
      <c r="AC2" t="s">
        <v>22</v>
      </c>
      <c r="AD2" t="s">
        <v>23</v>
      </c>
      <c r="AE2" t="s">
        <v>21</v>
      </c>
      <c r="AF2" t="s">
        <v>22</v>
      </c>
      <c r="AG2" t="s">
        <v>23</v>
      </c>
      <c r="AH2" t="s">
        <v>21</v>
      </c>
      <c r="AI2" t="s">
        <v>22</v>
      </c>
      <c r="AJ2" t="s">
        <v>23</v>
      </c>
    </row>
    <row r="3" spans="1:36" x14ac:dyDescent="0.1">
      <c r="A3" t="s">
        <v>24</v>
      </c>
      <c r="B3" t="s">
        <v>25</v>
      </c>
      <c r="C3" s="6">
        <v>0.4201388888888889</v>
      </c>
      <c r="D3" t="s">
        <v>24</v>
      </c>
      <c r="E3" t="s">
        <v>25</v>
      </c>
      <c r="F3" s="6">
        <v>0.40972222222222221</v>
      </c>
      <c r="G3" t="s">
        <v>24</v>
      </c>
      <c r="H3" t="s">
        <v>25</v>
      </c>
      <c r="I3" s="6">
        <v>0.40972222222222221</v>
      </c>
      <c r="J3" t="s">
        <v>24</v>
      </c>
      <c r="K3" t="s">
        <v>25</v>
      </c>
      <c r="L3" s="6">
        <v>0.40972222222222221</v>
      </c>
      <c r="M3" t="s">
        <v>24</v>
      </c>
      <c r="N3" t="s">
        <v>25</v>
      </c>
      <c r="O3" s="6">
        <v>0.40972222222222221</v>
      </c>
      <c r="P3" t="s">
        <v>24</v>
      </c>
      <c r="Q3" t="s">
        <v>28</v>
      </c>
      <c r="R3" s="6">
        <v>0.40972222222222221</v>
      </c>
      <c r="S3" t="s">
        <v>24</v>
      </c>
      <c r="T3" t="s">
        <v>28</v>
      </c>
      <c r="U3" s="6">
        <v>0.40972222222222221</v>
      </c>
      <c r="V3" s="6" t="s">
        <v>24</v>
      </c>
      <c r="W3" s="6" t="s">
        <v>28</v>
      </c>
      <c r="X3" s="6">
        <v>0.40972222222222221</v>
      </c>
      <c r="Y3" t="s">
        <v>24</v>
      </c>
      <c r="Z3" t="s">
        <v>28</v>
      </c>
      <c r="AA3" s="6">
        <v>0.40972222222222221</v>
      </c>
      <c r="AB3" t="s">
        <v>24</v>
      </c>
      <c r="AC3" t="s">
        <v>25</v>
      </c>
      <c r="AD3" s="6">
        <v>0.40972222222222221</v>
      </c>
      <c r="AE3" t="s">
        <v>24</v>
      </c>
      <c r="AF3" t="s">
        <v>28</v>
      </c>
      <c r="AG3" s="6">
        <v>0.40972222222222221</v>
      </c>
      <c r="AH3" t="s">
        <v>24</v>
      </c>
      <c r="AI3" t="s">
        <v>28</v>
      </c>
      <c r="AJ3" s="6">
        <v>0.40972222222222221</v>
      </c>
    </row>
    <row r="4" spans="1:36" x14ac:dyDescent="0.1">
      <c r="B4" t="s">
        <v>33</v>
      </c>
      <c r="E4" t="s">
        <v>33</v>
      </c>
      <c r="H4" t="s">
        <v>33</v>
      </c>
      <c r="K4" t="s">
        <v>429</v>
      </c>
      <c r="N4" t="s">
        <v>33</v>
      </c>
      <c r="Q4" t="s">
        <v>33</v>
      </c>
      <c r="T4" t="s">
        <v>429</v>
      </c>
      <c r="W4" t="s">
        <v>55</v>
      </c>
      <c r="Z4" t="s">
        <v>33</v>
      </c>
      <c r="AC4" t="s">
        <v>55</v>
      </c>
      <c r="AF4" t="s">
        <v>65</v>
      </c>
      <c r="AI4" t="s">
        <v>33</v>
      </c>
    </row>
    <row r="5" spans="1:36" x14ac:dyDescent="0.1">
      <c r="A5" t="s">
        <v>27</v>
      </c>
      <c r="B5" t="s">
        <v>25</v>
      </c>
      <c r="C5" s="6">
        <v>0.44097222222222221</v>
      </c>
      <c r="D5" t="s">
        <v>27</v>
      </c>
      <c r="E5" t="s">
        <v>25</v>
      </c>
      <c r="F5" s="6">
        <v>0.42708333333333331</v>
      </c>
      <c r="G5" t="s">
        <v>27</v>
      </c>
      <c r="H5" t="s">
        <v>25</v>
      </c>
      <c r="I5" s="6">
        <v>0.43055555555555558</v>
      </c>
      <c r="J5" t="s">
        <v>27</v>
      </c>
      <c r="K5" t="s">
        <v>25</v>
      </c>
      <c r="L5" s="6">
        <v>0.43055555555555558</v>
      </c>
      <c r="M5" t="s">
        <v>27</v>
      </c>
      <c r="N5" t="s">
        <v>25</v>
      </c>
      <c r="O5" s="6">
        <v>0.43055555555555558</v>
      </c>
      <c r="P5" t="s">
        <v>27</v>
      </c>
      <c r="Q5" t="s">
        <v>25</v>
      </c>
      <c r="R5" s="6">
        <v>0.43055555555555558</v>
      </c>
      <c r="S5" t="s">
        <v>27</v>
      </c>
      <c r="T5" t="s">
        <v>25</v>
      </c>
      <c r="U5" s="6">
        <v>0.43055555555555558</v>
      </c>
      <c r="V5" s="6" t="s">
        <v>27</v>
      </c>
      <c r="W5" s="6" t="s">
        <v>25</v>
      </c>
      <c r="X5" s="6">
        <v>0.43055555555555558</v>
      </c>
      <c r="Y5" t="s">
        <v>27</v>
      </c>
      <c r="Z5" t="s">
        <v>25</v>
      </c>
      <c r="AA5" s="6">
        <v>0.43055555555555558</v>
      </c>
      <c r="AB5" t="s">
        <v>27</v>
      </c>
      <c r="AC5" t="s">
        <v>25</v>
      </c>
      <c r="AD5" s="6">
        <v>0.43055555555555558</v>
      </c>
      <c r="AE5" t="s">
        <v>27</v>
      </c>
      <c r="AF5" t="s">
        <v>25</v>
      </c>
      <c r="AG5" s="6">
        <v>0.43055555555555558</v>
      </c>
      <c r="AH5" t="s">
        <v>27</v>
      </c>
      <c r="AI5" t="s">
        <v>25</v>
      </c>
      <c r="AJ5" s="6">
        <v>0.43055555555555558</v>
      </c>
    </row>
    <row r="6" spans="1:36" x14ac:dyDescent="0.1">
      <c r="B6" t="s">
        <v>26</v>
      </c>
      <c r="E6" t="s">
        <v>31</v>
      </c>
      <c r="H6" t="s">
        <v>26</v>
      </c>
      <c r="K6" t="s">
        <v>192</v>
      </c>
      <c r="N6" t="s">
        <v>124</v>
      </c>
      <c r="Q6" t="s">
        <v>31</v>
      </c>
      <c r="T6" t="s">
        <v>65</v>
      </c>
      <c r="W6" t="s">
        <v>26</v>
      </c>
      <c r="Z6" t="s">
        <v>55</v>
      </c>
      <c r="AC6" t="s">
        <v>228</v>
      </c>
      <c r="AF6" t="s">
        <v>124</v>
      </c>
      <c r="AI6" t="s">
        <v>55</v>
      </c>
    </row>
    <row r="7" spans="1:36" x14ac:dyDescent="0.1">
      <c r="A7" t="s">
        <v>30</v>
      </c>
      <c r="B7" t="s">
        <v>25</v>
      </c>
      <c r="C7" s="6">
        <v>0.46180555555555558</v>
      </c>
      <c r="D7" t="s">
        <v>30</v>
      </c>
      <c r="E7" t="s">
        <v>25</v>
      </c>
      <c r="F7" s="6">
        <v>0.44791666666666669</v>
      </c>
      <c r="G7" t="s">
        <v>30</v>
      </c>
      <c r="H7" t="s">
        <v>25</v>
      </c>
      <c r="I7" s="6">
        <v>0.4513888888888889</v>
      </c>
      <c r="J7" t="s">
        <v>30</v>
      </c>
      <c r="K7" t="s">
        <v>25</v>
      </c>
      <c r="L7" s="6">
        <v>0.4513888888888889</v>
      </c>
      <c r="M7" t="s">
        <v>30</v>
      </c>
      <c r="N7" t="s">
        <v>25</v>
      </c>
      <c r="O7" s="6">
        <v>0.4513888888888889</v>
      </c>
      <c r="P7" t="s">
        <v>30</v>
      </c>
      <c r="Q7" t="s">
        <v>25</v>
      </c>
      <c r="R7" s="6">
        <v>0.4513888888888889</v>
      </c>
      <c r="S7" t="s">
        <v>30</v>
      </c>
      <c r="T7" t="s">
        <v>25</v>
      </c>
      <c r="U7" s="6">
        <v>0.4513888888888889</v>
      </c>
      <c r="V7" s="6" t="s">
        <v>30</v>
      </c>
      <c r="W7" s="6" t="s">
        <v>25</v>
      </c>
      <c r="X7" s="6">
        <v>0.4513888888888889</v>
      </c>
      <c r="Y7" t="s">
        <v>30</v>
      </c>
      <c r="Z7" t="s">
        <v>25</v>
      </c>
      <c r="AA7" s="6">
        <v>0.4513888888888889</v>
      </c>
      <c r="AB7" t="s">
        <v>30</v>
      </c>
      <c r="AC7" t="s">
        <v>25</v>
      </c>
      <c r="AD7" s="6">
        <v>0.4513888888888889</v>
      </c>
      <c r="AE7" t="s">
        <v>30</v>
      </c>
      <c r="AF7" t="s">
        <v>25</v>
      </c>
      <c r="AG7" s="6">
        <v>0.4513888888888889</v>
      </c>
      <c r="AH7" t="s">
        <v>30</v>
      </c>
      <c r="AI7" t="s">
        <v>25</v>
      </c>
      <c r="AJ7" s="6">
        <v>0.4513888888888889</v>
      </c>
    </row>
    <row r="8" spans="1:36" x14ac:dyDescent="0.1">
      <c r="B8" t="s">
        <v>55</v>
      </c>
      <c r="E8" t="s">
        <v>55</v>
      </c>
      <c r="H8" t="s">
        <v>29</v>
      </c>
      <c r="K8" t="s">
        <v>55</v>
      </c>
      <c r="N8" t="s">
        <v>31</v>
      </c>
      <c r="Q8" t="s">
        <v>55</v>
      </c>
      <c r="T8" t="s">
        <v>26</v>
      </c>
      <c r="W8" t="s">
        <v>33</v>
      </c>
      <c r="Z8" t="s">
        <v>31</v>
      </c>
      <c r="AC8" t="s">
        <v>31</v>
      </c>
      <c r="AF8" t="s">
        <v>192</v>
      </c>
      <c r="AI8" t="s">
        <v>31</v>
      </c>
    </row>
    <row r="9" spans="1:36" x14ac:dyDescent="0.1">
      <c r="A9" t="s">
        <v>32</v>
      </c>
      <c r="B9" t="s">
        <v>25</v>
      </c>
      <c r="C9" s="6">
        <v>0.4861111111111111</v>
      </c>
      <c r="D9" t="s">
        <v>32</v>
      </c>
      <c r="E9" t="s">
        <v>25</v>
      </c>
      <c r="F9" s="6">
        <v>0.46875</v>
      </c>
      <c r="G9" t="s">
        <v>32</v>
      </c>
      <c r="H9" t="s">
        <v>25</v>
      </c>
      <c r="I9" s="6">
        <v>0.47222222222222221</v>
      </c>
      <c r="J9" t="s">
        <v>32</v>
      </c>
      <c r="K9" t="s">
        <v>25</v>
      </c>
      <c r="L9" s="6">
        <v>0.47222222222222221</v>
      </c>
      <c r="M9" t="s">
        <v>32</v>
      </c>
      <c r="N9" t="s">
        <v>25</v>
      </c>
      <c r="O9" s="6">
        <v>0.47222222222222221</v>
      </c>
      <c r="P9" t="s">
        <v>32</v>
      </c>
      <c r="Q9" t="s">
        <v>25</v>
      </c>
      <c r="R9" s="6">
        <v>0.47222222222222221</v>
      </c>
      <c r="S9" t="s">
        <v>32</v>
      </c>
      <c r="T9" t="s">
        <v>25</v>
      </c>
      <c r="U9" s="6">
        <v>0.47222222222222221</v>
      </c>
      <c r="V9" s="6" t="s">
        <v>32</v>
      </c>
      <c r="W9" s="6" t="s">
        <v>25</v>
      </c>
      <c r="X9" s="6">
        <v>0.47222222222222221</v>
      </c>
      <c r="Y9" t="s">
        <v>32</v>
      </c>
      <c r="Z9" t="s">
        <v>25</v>
      </c>
      <c r="AA9" s="6">
        <v>0.47222222222222221</v>
      </c>
      <c r="AB9" t="s">
        <v>32</v>
      </c>
      <c r="AC9" t="s">
        <v>25</v>
      </c>
      <c r="AD9" s="6">
        <v>0.47222222222222221</v>
      </c>
      <c r="AE9" t="s">
        <v>32</v>
      </c>
      <c r="AF9" t="s">
        <v>25</v>
      </c>
      <c r="AG9" s="6">
        <v>0.47222222222222221</v>
      </c>
      <c r="AH9" t="s">
        <v>32</v>
      </c>
      <c r="AI9" t="s">
        <v>25</v>
      </c>
      <c r="AJ9" s="6">
        <v>0.47222222222222221</v>
      </c>
    </row>
    <row r="10" spans="1:36" x14ac:dyDescent="0.1">
      <c r="B10" t="s">
        <v>149</v>
      </c>
      <c r="E10" t="s">
        <v>65</v>
      </c>
      <c r="H10" t="s">
        <v>31</v>
      </c>
      <c r="K10" t="s">
        <v>65</v>
      </c>
      <c r="N10" t="s">
        <v>65</v>
      </c>
      <c r="Q10" t="s">
        <v>149</v>
      </c>
      <c r="T10" t="s">
        <v>33</v>
      </c>
      <c r="W10" t="s">
        <v>65</v>
      </c>
      <c r="Z10" t="s">
        <v>429</v>
      </c>
      <c r="AC10" t="s">
        <v>149</v>
      </c>
      <c r="AF10" t="s">
        <v>33</v>
      </c>
      <c r="AI10" t="s">
        <v>29</v>
      </c>
    </row>
    <row r="11" spans="1:36" x14ac:dyDescent="0.1">
      <c r="A11" t="s">
        <v>34</v>
      </c>
      <c r="B11" t="s">
        <v>56</v>
      </c>
      <c r="C11" s="6">
        <v>0.52083333333333337</v>
      </c>
      <c r="D11" t="s">
        <v>34</v>
      </c>
      <c r="E11" t="s">
        <v>56</v>
      </c>
      <c r="F11" s="6">
        <v>0.50347222222222221</v>
      </c>
      <c r="G11" t="s">
        <v>34</v>
      </c>
      <c r="H11" t="s">
        <v>56</v>
      </c>
      <c r="I11" s="6">
        <v>0.50694444444444442</v>
      </c>
      <c r="J11" t="s">
        <v>34</v>
      </c>
      <c r="K11" t="s">
        <v>56</v>
      </c>
      <c r="L11" s="6">
        <v>0.50694444444444442</v>
      </c>
      <c r="M11" t="s">
        <v>34</v>
      </c>
      <c r="N11" t="s">
        <v>56</v>
      </c>
      <c r="O11" s="6">
        <v>0.50694444444444442</v>
      </c>
      <c r="P11" t="s">
        <v>34</v>
      </c>
      <c r="Q11" t="s">
        <v>56</v>
      </c>
      <c r="R11" s="6">
        <v>0.50694444444444442</v>
      </c>
      <c r="S11" t="s">
        <v>34</v>
      </c>
      <c r="T11" t="s">
        <v>56</v>
      </c>
      <c r="U11" s="6">
        <v>0.50694444444444442</v>
      </c>
      <c r="V11" s="6" t="s">
        <v>34</v>
      </c>
      <c r="W11" s="6" t="s">
        <v>56</v>
      </c>
      <c r="X11" s="6">
        <v>0.50694444444444442</v>
      </c>
      <c r="Y11" t="s">
        <v>34</v>
      </c>
      <c r="Z11" t="s">
        <v>56</v>
      </c>
      <c r="AA11" s="6">
        <v>0.50694444444444442</v>
      </c>
      <c r="AB11" t="s">
        <v>34</v>
      </c>
      <c r="AC11" t="s">
        <v>56</v>
      </c>
      <c r="AD11" s="6">
        <v>0.50694444444444442</v>
      </c>
      <c r="AE11" t="s">
        <v>34</v>
      </c>
      <c r="AF11" t="s">
        <v>25</v>
      </c>
      <c r="AG11" s="6">
        <v>0.50694444444444442</v>
      </c>
      <c r="AH11" t="s">
        <v>34</v>
      </c>
      <c r="AI11" t="s">
        <v>56</v>
      </c>
      <c r="AJ11" s="6">
        <v>0.50694444444444442</v>
      </c>
    </row>
    <row r="12" spans="1:36" x14ac:dyDescent="0.1">
      <c r="B12" t="s">
        <v>33</v>
      </c>
      <c r="E12" t="s">
        <v>650</v>
      </c>
      <c r="H12" t="s">
        <v>429</v>
      </c>
      <c r="K12" t="s">
        <v>33</v>
      </c>
      <c r="N12" t="s">
        <v>33</v>
      </c>
      <c r="Q12" t="s">
        <v>33</v>
      </c>
      <c r="T12" t="s">
        <v>55</v>
      </c>
      <c r="W12" t="s">
        <v>33</v>
      </c>
      <c r="Z12" t="s">
        <v>65</v>
      </c>
      <c r="AC12" t="s">
        <v>65</v>
      </c>
      <c r="AF12" t="s">
        <v>31</v>
      </c>
      <c r="AI12" t="s">
        <v>65</v>
      </c>
    </row>
    <row r="13" spans="1:36" x14ac:dyDescent="0.1">
      <c r="A13" t="s">
        <v>35</v>
      </c>
      <c r="B13" t="s">
        <v>25</v>
      </c>
      <c r="C13" s="6">
        <v>0.54166666666666663</v>
      </c>
      <c r="D13" t="s">
        <v>35</v>
      </c>
      <c r="E13" t="s">
        <v>25</v>
      </c>
      <c r="F13" s="6">
        <v>0.52430555555555558</v>
      </c>
      <c r="G13" t="s">
        <v>35</v>
      </c>
      <c r="H13" t="s">
        <v>56</v>
      </c>
      <c r="I13" s="6">
        <v>0.52777777777777779</v>
      </c>
      <c r="J13" t="s">
        <v>35</v>
      </c>
      <c r="K13" t="s">
        <v>25</v>
      </c>
      <c r="L13" s="6">
        <v>0.52777777777777779</v>
      </c>
      <c r="M13" t="s">
        <v>35</v>
      </c>
      <c r="N13" t="s">
        <v>25</v>
      </c>
      <c r="O13" s="6">
        <v>0.52777777777777779</v>
      </c>
      <c r="P13" t="s">
        <v>35</v>
      </c>
      <c r="Q13" t="s">
        <v>25</v>
      </c>
      <c r="R13" s="6">
        <v>0.52777777777777779</v>
      </c>
      <c r="S13" t="s">
        <v>35</v>
      </c>
      <c r="T13" t="s">
        <v>25</v>
      </c>
      <c r="U13" s="6">
        <v>0.52777777777777779</v>
      </c>
      <c r="V13" s="6" t="s">
        <v>35</v>
      </c>
      <c r="W13" s="6" t="s">
        <v>25</v>
      </c>
      <c r="X13" s="6">
        <v>0.52777777777777779</v>
      </c>
      <c r="Y13" t="s">
        <v>35</v>
      </c>
      <c r="Z13" t="s">
        <v>25</v>
      </c>
      <c r="AA13" s="6">
        <v>0.52777777777777779</v>
      </c>
      <c r="AB13" t="s">
        <v>35</v>
      </c>
      <c r="AC13" t="s">
        <v>25</v>
      </c>
      <c r="AD13" s="6">
        <v>0.52777777777777779</v>
      </c>
      <c r="AE13" t="s">
        <v>35</v>
      </c>
      <c r="AF13" t="s">
        <v>25</v>
      </c>
      <c r="AG13" s="6">
        <v>0.52777777777777779</v>
      </c>
      <c r="AH13" t="s">
        <v>35</v>
      </c>
      <c r="AI13" t="s">
        <v>25</v>
      </c>
      <c r="AJ13" s="6">
        <v>0.52777777777777779</v>
      </c>
    </row>
    <row r="14" spans="1:36" x14ac:dyDescent="0.1">
      <c r="B14" t="s">
        <v>31</v>
      </c>
      <c r="E14" t="s">
        <v>29</v>
      </c>
      <c r="H14" t="s">
        <v>55</v>
      </c>
      <c r="K14" t="s">
        <v>31</v>
      </c>
      <c r="N14" t="s">
        <v>26</v>
      </c>
      <c r="Q14" t="s">
        <v>29</v>
      </c>
      <c r="T14" t="s">
        <v>31</v>
      </c>
      <c r="W14" t="s">
        <v>31</v>
      </c>
      <c r="Z14" t="s">
        <v>29</v>
      </c>
      <c r="AC14" t="s">
        <v>33</v>
      </c>
      <c r="AF14" t="s">
        <v>65</v>
      </c>
      <c r="AI14" t="s">
        <v>33</v>
      </c>
    </row>
    <row r="15" spans="1:36" x14ac:dyDescent="0.1">
      <c r="A15" t="s">
        <v>38</v>
      </c>
      <c r="B15" t="s">
        <v>36</v>
      </c>
      <c r="C15" s="6">
        <v>0.5625</v>
      </c>
      <c r="D15" t="s">
        <v>38</v>
      </c>
      <c r="E15" t="s">
        <v>36</v>
      </c>
      <c r="F15" s="6">
        <v>0.54513888888888884</v>
      </c>
      <c r="G15" t="s">
        <v>38</v>
      </c>
      <c r="H15" t="s">
        <v>25</v>
      </c>
      <c r="I15" s="6">
        <v>0.54861111111111116</v>
      </c>
      <c r="J15" t="s">
        <v>38</v>
      </c>
      <c r="K15" t="s">
        <v>36</v>
      </c>
      <c r="L15" s="6">
        <v>0.54861111111111116</v>
      </c>
      <c r="M15" t="s">
        <v>38</v>
      </c>
      <c r="N15" t="s">
        <v>36</v>
      </c>
      <c r="O15" s="6">
        <v>0.54861111111111116</v>
      </c>
      <c r="P15" t="s">
        <v>38</v>
      </c>
      <c r="Q15" t="s">
        <v>36</v>
      </c>
      <c r="R15" s="6">
        <v>0.54861111111111116</v>
      </c>
      <c r="S15" t="s">
        <v>38</v>
      </c>
      <c r="T15" t="s">
        <v>36</v>
      </c>
      <c r="U15" s="6">
        <v>0.54861111111111116</v>
      </c>
      <c r="V15" s="6" t="s">
        <v>38</v>
      </c>
      <c r="W15" s="6" t="s">
        <v>36</v>
      </c>
      <c r="X15" s="6">
        <v>0.54861111111111116</v>
      </c>
      <c r="Y15" t="s">
        <v>38</v>
      </c>
      <c r="Z15" t="s">
        <v>36</v>
      </c>
      <c r="AA15" s="6">
        <v>0.54861111111111116</v>
      </c>
      <c r="AB15" t="s">
        <v>38</v>
      </c>
      <c r="AC15" t="s">
        <v>36</v>
      </c>
      <c r="AD15" s="6">
        <v>0.54861111111111116</v>
      </c>
      <c r="AE15" t="s">
        <v>38</v>
      </c>
      <c r="AF15" t="s">
        <v>36</v>
      </c>
      <c r="AG15" s="6">
        <v>0.54861111111111116</v>
      </c>
      <c r="AH15" t="s">
        <v>38</v>
      </c>
      <c r="AI15" t="s">
        <v>36</v>
      </c>
      <c r="AJ15" s="6">
        <v>0.54861111111111116</v>
      </c>
    </row>
    <row r="16" spans="1:36" x14ac:dyDescent="0.1">
      <c r="B16" t="s">
        <v>39</v>
      </c>
      <c r="E16" t="s">
        <v>651</v>
      </c>
      <c r="H16" t="s">
        <v>275</v>
      </c>
      <c r="K16" t="s">
        <v>196</v>
      </c>
      <c r="N16" t="s">
        <v>60</v>
      </c>
      <c r="Q16" t="s">
        <v>66</v>
      </c>
      <c r="T16" t="s">
        <v>196</v>
      </c>
      <c r="W16" t="s">
        <v>58</v>
      </c>
      <c r="Z16" t="s">
        <v>37</v>
      </c>
      <c r="AC16" t="s">
        <v>66</v>
      </c>
      <c r="AF16" t="s">
        <v>45</v>
      </c>
      <c r="AI16" t="s">
        <v>66</v>
      </c>
    </row>
    <row r="17" spans="1:36" x14ac:dyDescent="0.1">
      <c r="A17" t="s">
        <v>40</v>
      </c>
      <c r="B17" t="s">
        <v>36</v>
      </c>
      <c r="C17" s="6">
        <v>0.58333333333333337</v>
      </c>
      <c r="D17" t="s">
        <v>40</v>
      </c>
      <c r="E17" t="s">
        <v>36</v>
      </c>
      <c r="F17" s="6">
        <v>0.56597222222222221</v>
      </c>
      <c r="G17" t="s">
        <v>40</v>
      </c>
      <c r="H17" t="s">
        <v>36</v>
      </c>
      <c r="I17" s="6">
        <v>0.56944444444444442</v>
      </c>
      <c r="J17" t="s">
        <v>40</v>
      </c>
      <c r="K17" t="s">
        <v>36</v>
      </c>
      <c r="L17" s="6">
        <v>0.56944444444444442</v>
      </c>
      <c r="M17" t="s">
        <v>40</v>
      </c>
      <c r="N17" t="s">
        <v>36</v>
      </c>
      <c r="O17" s="6">
        <v>0.56944444444444442</v>
      </c>
      <c r="P17" t="s">
        <v>40</v>
      </c>
      <c r="Q17" t="s">
        <v>36</v>
      </c>
      <c r="R17" s="6">
        <v>0.56944444444444442</v>
      </c>
      <c r="S17" t="s">
        <v>40</v>
      </c>
      <c r="T17" t="s">
        <v>36</v>
      </c>
      <c r="U17" s="6">
        <v>0.56944444444444442</v>
      </c>
      <c r="V17" s="6" t="s">
        <v>40</v>
      </c>
      <c r="W17" s="6" t="s">
        <v>36</v>
      </c>
      <c r="X17" s="6">
        <v>0.56944444444444442</v>
      </c>
      <c r="Y17" t="s">
        <v>40</v>
      </c>
      <c r="Z17" t="s">
        <v>36</v>
      </c>
      <c r="AA17" s="6">
        <v>0.56944444444444442</v>
      </c>
      <c r="AB17" t="s">
        <v>40</v>
      </c>
      <c r="AC17" t="s">
        <v>36</v>
      </c>
      <c r="AD17" s="6">
        <v>0.56944444444444442</v>
      </c>
      <c r="AE17" t="s">
        <v>40</v>
      </c>
      <c r="AF17" t="s">
        <v>36</v>
      </c>
      <c r="AG17" s="6">
        <v>0.56944444444444442</v>
      </c>
      <c r="AH17" t="s">
        <v>40</v>
      </c>
      <c r="AI17" t="s">
        <v>36</v>
      </c>
      <c r="AJ17" s="6">
        <v>0.56944444444444442</v>
      </c>
    </row>
    <row r="18" spans="1:36" x14ac:dyDescent="0.1">
      <c r="B18" t="s">
        <v>37</v>
      </c>
      <c r="E18" t="s">
        <v>39</v>
      </c>
      <c r="H18" t="s">
        <v>37</v>
      </c>
      <c r="K18" t="s">
        <v>45</v>
      </c>
      <c r="N18" t="s">
        <v>37</v>
      </c>
      <c r="Q18" t="s">
        <v>39</v>
      </c>
      <c r="T18" t="s">
        <v>73</v>
      </c>
      <c r="W18" t="s">
        <v>45</v>
      </c>
      <c r="Z18" t="s">
        <v>45</v>
      </c>
      <c r="AC18" t="s">
        <v>125</v>
      </c>
      <c r="AF18" t="s">
        <v>73</v>
      </c>
      <c r="AI18" t="s">
        <v>37</v>
      </c>
    </row>
    <row r="19" spans="1:36" x14ac:dyDescent="0.1">
      <c r="A19" t="s">
        <v>42</v>
      </c>
      <c r="B19" t="s">
        <v>635</v>
      </c>
      <c r="C19" s="6">
        <v>0.60416666666666663</v>
      </c>
      <c r="D19" t="s">
        <v>42</v>
      </c>
      <c r="E19" t="s">
        <v>652</v>
      </c>
      <c r="F19" s="6">
        <v>0.58680555555555558</v>
      </c>
      <c r="G19" t="s">
        <v>42</v>
      </c>
      <c r="H19" t="s">
        <v>669</v>
      </c>
      <c r="I19" s="6">
        <v>0.59027777777777779</v>
      </c>
      <c r="J19" t="s">
        <v>42</v>
      </c>
      <c r="K19" t="s">
        <v>682</v>
      </c>
      <c r="L19" s="6">
        <v>0.59027777777777779</v>
      </c>
      <c r="M19" t="s">
        <v>42</v>
      </c>
      <c r="N19" t="s">
        <v>697</v>
      </c>
      <c r="O19" s="6">
        <v>0.59027777777777779</v>
      </c>
      <c r="P19" t="s">
        <v>42</v>
      </c>
      <c r="Q19" t="s">
        <v>708</v>
      </c>
      <c r="R19" s="6">
        <v>0.59027777777777779</v>
      </c>
      <c r="S19" t="s">
        <v>42</v>
      </c>
      <c r="T19" t="s">
        <v>723</v>
      </c>
      <c r="U19" s="6">
        <v>0.59027777777777779</v>
      </c>
      <c r="V19" s="6" t="s">
        <v>42</v>
      </c>
      <c r="W19" s="6" t="s">
        <v>821</v>
      </c>
      <c r="X19" s="6">
        <v>0.59027777777777779</v>
      </c>
      <c r="Y19" t="s">
        <v>42</v>
      </c>
      <c r="Z19" t="s">
        <v>736</v>
      </c>
      <c r="AA19" s="6">
        <v>0.59027777777777779</v>
      </c>
      <c r="AB19" t="s">
        <v>42</v>
      </c>
      <c r="AC19" t="s">
        <v>759</v>
      </c>
      <c r="AD19" s="6">
        <v>0.59027777777777779</v>
      </c>
      <c r="AE19" t="s">
        <v>42</v>
      </c>
      <c r="AF19" t="s">
        <v>774</v>
      </c>
      <c r="AG19" s="6">
        <v>0.59027777777777779</v>
      </c>
      <c r="AH19" t="s">
        <v>42</v>
      </c>
      <c r="AI19" t="s">
        <v>790</v>
      </c>
      <c r="AJ19" s="6">
        <v>0.59027777777777779</v>
      </c>
    </row>
    <row r="20" spans="1:36" x14ac:dyDescent="0.1">
      <c r="B20" t="s">
        <v>36</v>
      </c>
      <c r="E20" t="s">
        <v>36</v>
      </c>
      <c r="H20" t="s">
        <v>36</v>
      </c>
      <c r="K20" t="s">
        <v>36</v>
      </c>
      <c r="N20" t="s">
        <v>36</v>
      </c>
      <c r="Q20" t="s">
        <v>36</v>
      </c>
      <c r="T20" t="s">
        <v>36</v>
      </c>
      <c r="W20" t="s">
        <v>36</v>
      </c>
      <c r="Z20" t="s">
        <v>44</v>
      </c>
      <c r="AC20" t="s">
        <v>44</v>
      </c>
      <c r="AF20" t="s">
        <v>36</v>
      </c>
      <c r="AI20" t="s">
        <v>44</v>
      </c>
    </row>
    <row r="21" spans="1:36" x14ac:dyDescent="0.1">
      <c r="B21" t="s">
        <v>60</v>
      </c>
      <c r="E21" t="s">
        <v>48</v>
      </c>
      <c r="H21" t="s">
        <v>39</v>
      </c>
      <c r="K21" t="s">
        <v>135</v>
      </c>
      <c r="N21" t="s">
        <v>39</v>
      </c>
      <c r="Q21" t="s">
        <v>48</v>
      </c>
      <c r="T21" t="s">
        <v>48</v>
      </c>
      <c r="W21" t="s">
        <v>60</v>
      </c>
      <c r="Z21" t="s">
        <v>196</v>
      </c>
      <c r="AC21" t="s">
        <v>565</v>
      </c>
      <c r="AF21" t="s">
        <v>48</v>
      </c>
      <c r="AI21" t="s">
        <v>58</v>
      </c>
    </row>
    <row r="22" spans="1:36" x14ac:dyDescent="0.1">
      <c r="A22" t="s">
        <v>46</v>
      </c>
      <c r="B22" t="s">
        <v>636</v>
      </c>
      <c r="C22" s="6">
        <v>0.62847222222222221</v>
      </c>
      <c r="D22" t="s">
        <v>46</v>
      </c>
      <c r="E22" t="s">
        <v>653</v>
      </c>
      <c r="F22" s="6">
        <v>0.61111111111111116</v>
      </c>
      <c r="G22" t="s">
        <v>46</v>
      </c>
      <c r="H22" t="s">
        <v>670</v>
      </c>
      <c r="I22" s="6">
        <v>0.61458333333333337</v>
      </c>
      <c r="J22" t="s">
        <v>46</v>
      </c>
      <c r="K22" t="s">
        <v>683</v>
      </c>
      <c r="L22" s="6">
        <v>0.61458333333333337</v>
      </c>
      <c r="M22" t="s">
        <v>46</v>
      </c>
      <c r="N22" t="s">
        <v>698</v>
      </c>
      <c r="O22" s="6">
        <v>0.61458333333333337</v>
      </c>
      <c r="P22" t="s">
        <v>46</v>
      </c>
      <c r="Q22" t="s">
        <v>709</v>
      </c>
      <c r="R22" s="6">
        <v>0.61458333333333337</v>
      </c>
      <c r="S22" t="s">
        <v>46</v>
      </c>
      <c r="T22" t="s">
        <v>724</v>
      </c>
      <c r="U22" s="6">
        <v>0.61458333333333337</v>
      </c>
      <c r="V22" s="6" t="s">
        <v>46</v>
      </c>
      <c r="W22" s="6" t="s">
        <v>822</v>
      </c>
      <c r="X22" s="6">
        <v>0.61458333333333337</v>
      </c>
      <c r="Y22" t="s">
        <v>46</v>
      </c>
      <c r="Z22" t="s">
        <v>737</v>
      </c>
      <c r="AA22" s="6">
        <v>0.61458333333333337</v>
      </c>
      <c r="AB22" t="s">
        <v>46</v>
      </c>
      <c r="AC22" t="s">
        <v>760</v>
      </c>
      <c r="AD22" s="6">
        <v>0.61458333333333337</v>
      </c>
      <c r="AE22" t="s">
        <v>46</v>
      </c>
      <c r="AF22" t="s">
        <v>775</v>
      </c>
      <c r="AG22" s="6">
        <v>0.61458333333333337</v>
      </c>
      <c r="AH22" t="s">
        <v>46</v>
      </c>
      <c r="AI22" t="s">
        <v>791</v>
      </c>
      <c r="AJ22" s="6">
        <v>0.61458333333333337</v>
      </c>
    </row>
    <row r="23" spans="1:36" x14ac:dyDescent="0.1">
      <c r="B23" t="s">
        <v>44</v>
      </c>
      <c r="E23" t="s">
        <v>654</v>
      </c>
      <c r="H23" t="s">
        <v>36</v>
      </c>
      <c r="K23" t="s">
        <v>44</v>
      </c>
      <c r="N23" t="s">
        <v>44</v>
      </c>
      <c r="Q23" t="s">
        <v>44</v>
      </c>
      <c r="T23" t="s">
        <v>44</v>
      </c>
      <c r="W23" t="s">
        <v>44</v>
      </c>
      <c r="Z23" t="s">
        <v>44</v>
      </c>
      <c r="AC23" t="s">
        <v>44</v>
      </c>
      <c r="AF23" t="s">
        <v>44</v>
      </c>
      <c r="AI23" t="s">
        <v>44</v>
      </c>
    </row>
    <row r="24" spans="1:36" x14ac:dyDescent="0.1">
      <c r="B24" t="s">
        <v>48</v>
      </c>
      <c r="E24" t="s">
        <v>44</v>
      </c>
      <c r="H24" t="s">
        <v>73</v>
      </c>
      <c r="K24" t="s">
        <v>45</v>
      </c>
      <c r="N24" t="s">
        <v>60</v>
      </c>
      <c r="Q24" t="s">
        <v>66</v>
      </c>
      <c r="T24" t="s">
        <v>45</v>
      </c>
      <c r="W24" t="s">
        <v>39</v>
      </c>
      <c r="Z24" t="s">
        <v>52</v>
      </c>
      <c r="AC24" t="s">
        <v>37</v>
      </c>
      <c r="AF24" t="s">
        <v>39</v>
      </c>
      <c r="AI24" t="s">
        <v>45</v>
      </c>
    </row>
    <row r="25" spans="1:36" x14ac:dyDescent="0.1">
      <c r="A25" t="s">
        <v>49</v>
      </c>
      <c r="B25" t="s">
        <v>129</v>
      </c>
      <c r="C25" s="6">
        <v>0.65625</v>
      </c>
      <c r="E25" t="s">
        <v>198</v>
      </c>
      <c r="G25" t="s">
        <v>49</v>
      </c>
      <c r="H25" t="s">
        <v>671</v>
      </c>
      <c r="I25" s="6">
        <v>0.63888888888888884</v>
      </c>
      <c r="J25" t="s">
        <v>49</v>
      </c>
      <c r="K25" t="s">
        <v>684</v>
      </c>
      <c r="L25" s="6">
        <v>0.63888888888888884</v>
      </c>
      <c r="M25" t="s">
        <v>49</v>
      </c>
      <c r="N25" t="s">
        <v>699</v>
      </c>
      <c r="O25" s="6">
        <v>0.63888888888888884</v>
      </c>
      <c r="P25" s="42" t="s">
        <v>49</v>
      </c>
      <c r="Q25" s="42" t="s">
        <v>710</v>
      </c>
      <c r="R25" s="43">
        <v>0.63888888888888884</v>
      </c>
      <c r="S25" t="s">
        <v>49</v>
      </c>
      <c r="T25" t="s">
        <v>725</v>
      </c>
      <c r="U25" s="6">
        <v>0.63888888888888884</v>
      </c>
      <c r="V25" s="6" t="s">
        <v>49</v>
      </c>
      <c r="W25" s="6" t="s">
        <v>823</v>
      </c>
      <c r="X25" s="6">
        <v>0.63888888888888884</v>
      </c>
      <c r="Y25" t="s">
        <v>49</v>
      </c>
      <c r="Z25" t="s">
        <v>738</v>
      </c>
      <c r="AA25" s="6">
        <v>0.63888888888888884</v>
      </c>
      <c r="AB25" t="s">
        <v>49</v>
      </c>
      <c r="AC25" t="s">
        <v>761</v>
      </c>
      <c r="AD25" s="6">
        <v>0.63888888888888884</v>
      </c>
      <c r="AE25" t="s">
        <v>49</v>
      </c>
      <c r="AF25" t="s">
        <v>776</v>
      </c>
      <c r="AG25" s="6">
        <v>0.63888888888888884</v>
      </c>
      <c r="AH25" t="s">
        <v>49</v>
      </c>
      <c r="AI25" t="s">
        <v>792</v>
      </c>
      <c r="AJ25" s="6">
        <v>0.63888888888888884</v>
      </c>
    </row>
    <row r="26" spans="1:36" x14ac:dyDescent="0.1">
      <c r="B26" t="s">
        <v>637</v>
      </c>
      <c r="D26" t="s">
        <v>49</v>
      </c>
      <c r="E26" t="s">
        <v>655</v>
      </c>
      <c r="F26" s="6">
        <v>0.63541666666666663</v>
      </c>
      <c r="H26" t="s">
        <v>44</v>
      </c>
      <c r="K26" t="s">
        <v>71</v>
      </c>
      <c r="N26" t="s">
        <v>51</v>
      </c>
      <c r="P26" s="42"/>
      <c r="Q26" s="42" t="s">
        <v>93</v>
      </c>
      <c r="R26" s="42"/>
      <c r="T26" t="s">
        <v>71</v>
      </c>
      <c r="W26" t="s">
        <v>71</v>
      </c>
      <c r="Z26" t="s">
        <v>51</v>
      </c>
      <c r="AC26" t="s">
        <v>51</v>
      </c>
      <c r="AF26" t="s">
        <v>777</v>
      </c>
      <c r="AI26" t="s">
        <v>64</v>
      </c>
    </row>
    <row r="27" spans="1:36" x14ac:dyDescent="0.1">
      <c r="B27" t="s">
        <v>51</v>
      </c>
      <c r="E27" t="s">
        <v>44</v>
      </c>
      <c r="H27" t="s">
        <v>39</v>
      </c>
      <c r="K27" t="s">
        <v>69</v>
      </c>
      <c r="N27" t="s">
        <v>69</v>
      </c>
      <c r="P27" s="42"/>
      <c r="Q27" s="42" t="s">
        <v>94</v>
      </c>
      <c r="R27" s="42"/>
      <c r="T27" t="s">
        <v>39</v>
      </c>
      <c r="W27" t="s">
        <v>48</v>
      </c>
      <c r="Z27" t="s">
        <v>231</v>
      </c>
      <c r="AC27" t="s">
        <v>194</v>
      </c>
      <c r="AF27" t="s">
        <v>51</v>
      </c>
      <c r="AI27" t="s">
        <v>33</v>
      </c>
    </row>
    <row r="28" spans="1:36" x14ac:dyDescent="0.1">
      <c r="B28" t="s">
        <v>103</v>
      </c>
      <c r="E28" t="s">
        <v>39</v>
      </c>
      <c r="G28" t="s">
        <v>53</v>
      </c>
      <c r="H28" t="s">
        <v>36</v>
      </c>
      <c r="I28" s="6">
        <v>0.67013888888888884</v>
      </c>
      <c r="J28" t="s">
        <v>53</v>
      </c>
      <c r="K28" t="s">
        <v>36</v>
      </c>
      <c r="L28" s="6">
        <v>0.67013888888888884</v>
      </c>
      <c r="M28" t="s">
        <v>53</v>
      </c>
      <c r="N28" t="s">
        <v>36</v>
      </c>
      <c r="O28" s="6">
        <v>0.67013888888888884</v>
      </c>
      <c r="P28" s="42"/>
      <c r="Q28" s="42" t="s">
        <v>711</v>
      </c>
      <c r="R28" s="42"/>
      <c r="S28" t="s">
        <v>53</v>
      </c>
      <c r="T28" t="s">
        <v>36</v>
      </c>
      <c r="U28" s="6">
        <v>0.67013888888888884</v>
      </c>
      <c r="V28" s="6" t="s">
        <v>53</v>
      </c>
      <c r="W28" s="6" t="s">
        <v>36</v>
      </c>
      <c r="X28" s="6">
        <v>0.67013888888888884</v>
      </c>
      <c r="Y28" t="s">
        <v>53</v>
      </c>
      <c r="Z28" t="s">
        <v>36</v>
      </c>
      <c r="AA28" s="6">
        <v>0.67013888888888884</v>
      </c>
      <c r="AB28" t="s">
        <v>53</v>
      </c>
      <c r="AC28" t="s">
        <v>36</v>
      </c>
      <c r="AD28" s="6">
        <v>0.67013888888888884</v>
      </c>
      <c r="AF28" t="s">
        <v>198</v>
      </c>
      <c r="AH28" t="s">
        <v>53</v>
      </c>
      <c r="AI28" t="s">
        <v>36</v>
      </c>
      <c r="AJ28" s="6">
        <v>0.67013888888888884</v>
      </c>
    </row>
    <row r="29" spans="1:36" x14ac:dyDescent="0.1">
      <c r="A29" t="s">
        <v>53</v>
      </c>
      <c r="B29" t="s">
        <v>36</v>
      </c>
      <c r="C29" s="6">
        <v>0.6875</v>
      </c>
      <c r="D29" t="s">
        <v>53</v>
      </c>
      <c r="E29" t="s">
        <v>36</v>
      </c>
      <c r="F29" s="6">
        <v>0.67013888888888884</v>
      </c>
      <c r="H29" t="s">
        <v>45</v>
      </c>
      <c r="K29" t="s">
        <v>48</v>
      </c>
      <c r="N29" t="s">
        <v>45</v>
      </c>
      <c r="P29" s="42"/>
      <c r="Q29" s="42" t="s">
        <v>51</v>
      </c>
      <c r="R29" s="42"/>
      <c r="T29" t="s">
        <v>45</v>
      </c>
      <c r="W29" t="s">
        <v>37</v>
      </c>
      <c r="Z29" t="s">
        <v>39</v>
      </c>
      <c r="AC29" t="s">
        <v>39</v>
      </c>
      <c r="AE29" t="s">
        <v>53</v>
      </c>
      <c r="AF29" t="s">
        <v>36</v>
      </c>
      <c r="AG29" s="6">
        <v>0.67013888888888884</v>
      </c>
      <c r="AI29" t="s">
        <v>39</v>
      </c>
    </row>
    <row r="30" spans="1:36" x14ac:dyDescent="0.1">
      <c r="B30" t="s">
        <v>45</v>
      </c>
      <c r="E30" t="s">
        <v>45</v>
      </c>
      <c r="P30" s="42"/>
      <c r="Q30" s="42" t="s">
        <v>203</v>
      </c>
      <c r="R30" s="42"/>
      <c r="AF30" t="s">
        <v>196</v>
      </c>
    </row>
    <row r="31" spans="1:36" x14ac:dyDescent="0.1">
      <c r="P31" t="s">
        <v>53</v>
      </c>
      <c r="Q31" t="s">
        <v>712</v>
      </c>
      <c r="R31" s="6">
        <v>0.67013888888888884</v>
      </c>
    </row>
    <row r="32" spans="1:36" x14ac:dyDescent="0.1">
      <c r="Q32" t="s">
        <v>44</v>
      </c>
    </row>
    <row r="33" spans="17:17" x14ac:dyDescent="0.1">
      <c r="Q33" t="s">
        <v>39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2075-8FA9-4904-B9A9-039E04253D36}">
  <sheetPr codeName="Sheet21"/>
  <dimension ref="A1:X31"/>
  <sheetViews>
    <sheetView zoomScaleNormal="100" workbookViewId="0"/>
  </sheetViews>
  <sheetFormatPr defaultRowHeight="13.5" x14ac:dyDescent="0.1"/>
  <cols>
    <col min="1" max="1" width="11.1796875" bestFit="1" customWidth="1"/>
    <col min="2" max="2" width="21.81640625" bestFit="1" customWidth="1"/>
    <col min="3" max="3" width="9.26953125" bestFit="1" customWidth="1"/>
    <col min="4" max="4" width="11.1796875" bestFit="1" customWidth="1"/>
    <col min="5" max="5" width="27.26953125" bestFit="1" customWidth="1"/>
    <col min="6" max="6" width="9.26953125" bestFit="1" customWidth="1"/>
    <col min="7" max="7" width="11.1796875" bestFit="1" customWidth="1"/>
    <col min="8" max="8" width="18.26953125" bestFit="1" customWidth="1"/>
    <col min="9" max="9" width="9.26953125" bestFit="1" customWidth="1"/>
    <col min="10" max="10" width="11.1796875" bestFit="1" customWidth="1"/>
    <col min="11" max="11" width="18.1328125" bestFit="1" customWidth="1"/>
    <col min="12" max="12" width="9.26953125" bestFit="1" customWidth="1"/>
    <col min="13" max="13" width="11.1796875" bestFit="1" customWidth="1"/>
    <col min="14" max="14" width="20.1796875" bestFit="1" customWidth="1"/>
    <col min="15" max="15" width="9.26953125" bestFit="1" customWidth="1"/>
    <col min="16" max="16" width="11.1796875" bestFit="1" customWidth="1"/>
    <col min="17" max="17" width="20.04296875" bestFit="1" customWidth="1"/>
    <col min="18" max="18" width="9.26953125" bestFit="1" customWidth="1"/>
    <col min="19" max="19" width="11.1796875" bestFit="1" customWidth="1"/>
    <col min="20" max="20" width="16.76953125" bestFit="1" customWidth="1"/>
    <col min="21" max="21" width="9.26953125" bestFit="1" customWidth="1"/>
    <col min="22" max="22" width="11.1796875" bestFit="1" customWidth="1"/>
    <col min="23" max="23" width="28.6328125" bestFit="1" customWidth="1"/>
    <col min="24" max="24" width="9.26953125" bestFit="1" customWidth="1"/>
  </cols>
  <sheetData>
    <row r="1" spans="1:24" x14ac:dyDescent="0.1">
      <c r="A1" t="s">
        <v>685</v>
      </c>
      <c r="D1" t="s">
        <v>700</v>
      </c>
      <c r="G1" t="s">
        <v>713</v>
      </c>
      <c r="J1" t="s">
        <v>726</v>
      </c>
      <c r="M1" t="s">
        <v>739</v>
      </c>
      <c r="P1" t="s">
        <v>748</v>
      </c>
      <c r="S1" t="s">
        <v>762</v>
      </c>
      <c r="V1" t="s">
        <v>778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87</v>
      </c>
      <c r="C3" s="6">
        <v>0.4201388888888889</v>
      </c>
      <c r="D3" t="s">
        <v>24</v>
      </c>
      <c r="E3" t="s">
        <v>87</v>
      </c>
      <c r="F3" s="6">
        <v>0.4201388888888889</v>
      </c>
      <c r="G3" t="s">
        <v>24</v>
      </c>
      <c r="H3" t="s">
        <v>28</v>
      </c>
      <c r="I3" s="6">
        <v>0.4201388888888889</v>
      </c>
      <c r="J3" t="s">
        <v>24</v>
      </c>
      <c r="K3" t="s">
        <v>25</v>
      </c>
      <c r="L3" s="6">
        <v>0.41319444444444442</v>
      </c>
      <c r="M3" t="s">
        <v>24</v>
      </c>
      <c r="N3" t="s">
        <v>163</v>
      </c>
      <c r="O3" s="6">
        <v>0.4201388888888889</v>
      </c>
      <c r="P3" t="s">
        <v>24</v>
      </c>
      <c r="Q3" t="s">
        <v>87</v>
      </c>
      <c r="R3" s="6">
        <v>0.4201388888888889</v>
      </c>
      <c r="S3" t="s">
        <v>24</v>
      </c>
      <c r="T3" t="s">
        <v>28</v>
      </c>
      <c r="U3" s="6">
        <v>0.4201388888888889</v>
      </c>
      <c r="V3" t="s">
        <v>24</v>
      </c>
      <c r="W3" t="s">
        <v>28</v>
      </c>
      <c r="X3" s="6">
        <v>0.41319444444444442</v>
      </c>
    </row>
    <row r="4" spans="1:24" x14ac:dyDescent="0.1">
      <c r="B4" t="s">
        <v>686</v>
      </c>
      <c r="E4" t="s">
        <v>686</v>
      </c>
      <c r="H4" t="s">
        <v>65</v>
      </c>
      <c r="K4" t="s">
        <v>26</v>
      </c>
      <c r="N4" t="s">
        <v>740</v>
      </c>
      <c r="Q4" t="s">
        <v>749</v>
      </c>
      <c r="T4" t="s">
        <v>33</v>
      </c>
      <c r="W4" t="s">
        <v>276</v>
      </c>
    </row>
    <row r="5" spans="1:24" x14ac:dyDescent="0.1">
      <c r="A5" t="s">
        <v>27</v>
      </c>
      <c r="B5" t="s">
        <v>25</v>
      </c>
      <c r="C5" s="6">
        <v>0.44444444444444442</v>
      </c>
      <c r="D5" t="s">
        <v>27</v>
      </c>
      <c r="E5" t="s">
        <v>25</v>
      </c>
      <c r="F5" s="6">
        <v>0.44444444444444442</v>
      </c>
      <c r="G5" t="s">
        <v>27</v>
      </c>
      <c r="H5" t="s">
        <v>25</v>
      </c>
      <c r="I5" s="6">
        <v>0.44444444444444442</v>
      </c>
      <c r="J5" t="s">
        <v>27</v>
      </c>
      <c r="K5" t="s">
        <v>25</v>
      </c>
      <c r="L5" s="6">
        <v>0.4375</v>
      </c>
      <c r="M5" t="s">
        <v>27</v>
      </c>
      <c r="N5" t="s">
        <v>25</v>
      </c>
      <c r="O5" s="6">
        <v>0.44444444444444442</v>
      </c>
      <c r="P5" t="s">
        <v>27</v>
      </c>
      <c r="Q5" t="s">
        <v>25</v>
      </c>
      <c r="R5" s="6">
        <v>0.44444444444444442</v>
      </c>
      <c r="S5" t="s">
        <v>27</v>
      </c>
      <c r="T5" t="s">
        <v>28</v>
      </c>
      <c r="U5" s="6">
        <v>0.44444444444444442</v>
      </c>
      <c r="V5" t="s">
        <v>27</v>
      </c>
      <c r="W5" t="s">
        <v>25</v>
      </c>
      <c r="X5" s="6">
        <v>0.4375</v>
      </c>
    </row>
    <row r="6" spans="1:24" x14ac:dyDescent="0.1">
      <c r="B6" t="s">
        <v>31</v>
      </c>
      <c r="E6" t="s">
        <v>31</v>
      </c>
      <c r="H6" t="s">
        <v>149</v>
      </c>
      <c r="K6" t="s">
        <v>33</v>
      </c>
      <c r="N6" t="s">
        <v>26</v>
      </c>
      <c r="Q6" t="s">
        <v>31</v>
      </c>
      <c r="T6" t="s">
        <v>65</v>
      </c>
      <c r="W6" t="s">
        <v>228</v>
      </c>
    </row>
    <row r="7" spans="1:24" x14ac:dyDescent="0.1">
      <c r="A7" t="s">
        <v>30</v>
      </c>
      <c r="B7" t="s">
        <v>36</v>
      </c>
      <c r="C7" s="6">
        <v>0.46527777777777779</v>
      </c>
      <c r="D7" t="s">
        <v>30</v>
      </c>
      <c r="E7" t="s">
        <v>28</v>
      </c>
      <c r="F7" s="6">
        <v>0.46527777777777779</v>
      </c>
      <c r="G7" t="s">
        <v>30</v>
      </c>
      <c r="H7" t="s">
        <v>25</v>
      </c>
      <c r="I7" s="6">
        <v>0.46527777777777779</v>
      </c>
      <c r="J7" t="s">
        <v>30</v>
      </c>
      <c r="K7" t="s">
        <v>25</v>
      </c>
      <c r="L7" s="6">
        <v>0.45833333333333331</v>
      </c>
      <c r="M7" t="s">
        <v>30</v>
      </c>
      <c r="N7" t="s">
        <v>28</v>
      </c>
      <c r="O7" s="6">
        <v>0.46527777777777779</v>
      </c>
      <c r="P7" t="s">
        <v>30</v>
      </c>
      <c r="Q7" t="s">
        <v>25</v>
      </c>
      <c r="R7" s="6">
        <v>0.46527777777777779</v>
      </c>
      <c r="S7" t="s">
        <v>30</v>
      </c>
      <c r="T7" t="s">
        <v>25</v>
      </c>
      <c r="U7" s="6">
        <v>0.46527777777777779</v>
      </c>
      <c r="V7" t="s">
        <v>30</v>
      </c>
      <c r="W7" t="s">
        <v>25</v>
      </c>
      <c r="X7" s="6">
        <v>0.45833333333333331</v>
      </c>
    </row>
    <row r="8" spans="1:24" x14ac:dyDescent="0.1">
      <c r="B8" t="s">
        <v>45</v>
      </c>
      <c r="E8" t="s">
        <v>33</v>
      </c>
      <c r="H8" t="s">
        <v>31</v>
      </c>
      <c r="K8" t="s">
        <v>65</v>
      </c>
      <c r="N8" t="s">
        <v>65</v>
      </c>
      <c r="Q8" t="s">
        <v>29</v>
      </c>
      <c r="T8" t="s">
        <v>276</v>
      </c>
      <c r="W8" t="s">
        <v>65</v>
      </c>
    </row>
    <row r="9" spans="1:24" x14ac:dyDescent="0.1">
      <c r="A9" t="s">
        <v>32</v>
      </c>
      <c r="B9" t="s">
        <v>163</v>
      </c>
      <c r="C9" s="6">
        <v>0.4861111111111111</v>
      </c>
      <c r="D9" t="s">
        <v>32</v>
      </c>
      <c r="E9" t="s">
        <v>56</v>
      </c>
      <c r="F9" s="6">
        <v>0.4861111111111111</v>
      </c>
      <c r="G9" t="s">
        <v>32</v>
      </c>
      <c r="H9" t="s">
        <v>25</v>
      </c>
      <c r="I9" s="6">
        <v>0.4861111111111111</v>
      </c>
      <c r="J9" t="s">
        <v>32</v>
      </c>
      <c r="K9" t="s">
        <v>25</v>
      </c>
      <c r="L9" s="6">
        <v>0.47916666666666669</v>
      </c>
      <c r="M9" t="s">
        <v>32</v>
      </c>
      <c r="N9" t="s">
        <v>25</v>
      </c>
      <c r="O9" s="6">
        <v>0.4861111111111111</v>
      </c>
      <c r="P9" t="s">
        <v>32</v>
      </c>
      <c r="Q9" t="s">
        <v>56</v>
      </c>
      <c r="R9" s="6">
        <v>0.4861111111111111</v>
      </c>
      <c r="S9" t="s">
        <v>32</v>
      </c>
      <c r="T9" t="s">
        <v>25</v>
      </c>
      <c r="U9" s="6">
        <v>0.4861111111111111</v>
      </c>
      <c r="V9" t="s">
        <v>32</v>
      </c>
      <c r="W9" t="s">
        <v>25</v>
      </c>
      <c r="X9" s="6">
        <v>0.47916666666666669</v>
      </c>
    </row>
    <row r="10" spans="1:24" x14ac:dyDescent="0.1">
      <c r="B10" t="s">
        <v>687</v>
      </c>
      <c r="E10" t="s">
        <v>429</v>
      </c>
      <c r="H10" t="s">
        <v>429</v>
      </c>
      <c r="K10" t="s">
        <v>276</v>
      </c>
      <c r="N10" t="s">
        <v>31</v>
      </c>
      <c r="Q10" t="s">
        <v>33</v>
      </c>
      <c r="T10" t="s">
        <v>33</v>
      </c>
      <c r="W10" t="s">
        <v>26</v>
      </c>
    </row>
    <row r="11" spans="1:24" x14ac:dyDescent="0.1">
      <c r="A11" t="s">
        <v>34</v>
      </c>
      <c r="B11" t="s">
        <v>56</v>
      </c>
      <c r="C11" s="6">
        <v>0.52083333333333337</v>
      </c>
      <c r="D11" t="s">
        <v>34</v>
      </c>
      <c r="E11" t="s">
        <v>56</v>
      </c>
      <c r="F11" s="6">
        <v>0.52083333333333337</v>
      </c>
      <c r="G11" t="s">
        <v>34</v>
      </c>
      <c r="H11" t="s">
        <v>56</v>
      </c>
      <c r="I11" s="6">
        <v>0.52083333333333337</v>
      </c>
      <c r="J11" t="s">
        <v>34</v>
      </c>
      <c r="K11" t="s">
        <v>56</v>
      </c>
      <c r="L11" s="6">
        <v>0.51388888888888884</v>
      </c>
      <c r="M11" t="s">
        <v>34</v>
      </c>
      <c r="N11" t="s">
        <v>56</v>
      </c>
      <c r="O11" s="6">
        <v>0.52083333333333337</v>
      </c>
      <c r="P11" t="s">
        <v>34</v>
      </c>
      <c r="Q11" t="s">
        <v>56</v>
      </c>
      <c r="R11" s="6">
        <v>0.52083333333333337</v>
      </c>
      <c r="S11" t="s">
        <v>34</v>
      </c>
      <c r="T11" t="s">
        <v>56</v>
      </c>
      <c r="U11" s="6">
        <v>0.52083333333333337</v>
      </c>
      <c r="V11" t="s">
        <v>34</v>
      </c>
      <c r="W11" t="s">
        <v>56</v>
      </c>
      <c r="X11" s="6">
        <v>0.51388888888888884</v>
      </c>
    </row>
    <row r="12" spans="1:24" x14ac:dyDescent="0.1">
      <c r="B12" t="s">
        <v>33</v>
      </c>
      <c r="E12" t="s">
        <v>65</v>
      </c>
      <c r="H12" t="s">
        <v>65</v>
      </c>
      <c r="K12" t="s">
        <v>29</v>
      </c>
      <c r="N12" t="s">
        <v>33</v>
      </c>
      <c r="Q12" t="s">
        <v>65</v>
      </c>
      <c r="T12" t="s">
        <v>275</v>
      </c>
      <c r="W12" t="s">
        <v>29</v>
      </c>
    </row>
    <row r="13" spans="1:24" x14ac:dyDescent="0.1">
      <c r="A13" t="s">
        <v>35</v>
      </c>
      <c r="B13" t="s">
        <v>56</v>
      </c>
      <c r="C13" s="6">
        <v>0.54166666666666663</v>
      </c>
      <c r="D13" t="s">
        <v>35</v>
      </c>
      <c r="E13" t="s">
        <v>25</v>
      </c>
      <c r="F13" s="6">
        <v>0.54166666666666663</v>
      </c>
      <c r="G13" t="s">
        <v>35</v>
      </c>
      <c r="H13" t="s">
        <v>56</v>
      </c>
      <c r="I13" s="6">
        <v>0.54166666666666663</v>
      </c>
      <c r="J13" t="s">
        <v>35</v>
      </c>
      <c r="K13" t="s">
        <v>56</v>
      </c>
      <c r="L13" s="6">
        <v>0.53472222222222221</v>
      </c>
      <c r="M13" t="s">
        <v>35</v>
      </c>
      <c r="N13" t="s">
        <v>25</v>
      </c>
      <c r="O13" s="6">
        <v>0.54166666666666663</v>
      </c>
      <c r="P13" t="s">
        <v>35</v>
      </c>
      <c r="Q13" t="s">
        <v>25</v>
      </c>
      <c r="R13" s="6">
        <v>0.54166666666666663</v>
      </c>
      <c r="S13" t="s">
        <v>35</v>
      </c>
      <c r="T13" t="s">
        <v>25</v>
      </c>
      <c r="U13" s="6">
        <v>0.54166666666666663</v>
      </c>
      <c r="V13" t="s">
        <v>35</v>
      </c>
      <c r="W13" t="s">
        <v>56</v>
      </c>
      <c r="X13" s="6">
        <v>0.53472222222222221</v>
      </c>
    </row>
    <row r="14" spans="1:24" x14ac:dyDescent="0.1">
      <c r="B14" t="s">
        <v>276</v>
      </c>
      <c r="E14" t="s">
        <v>276</v>
      </c>
      <c r="H14" t="s">
        <v>31</v>
      </c>
      <c r="K14" t="s">
        <v>33</v>
      </c>
      <c r="N14" t="s">
        <v>65</v>
      </c>
      <c r="Q14" t="s">
        <v>276</v>
      </c>
      <c r="T14" t="s">
        <v>31</v>
      </c>
      <c r="W14" t="s">
        <v>33</v>
      </c>
    </row>
    <row r="15" spans="1:24" x14ac:dyDescent="0.1">
      <c r="A15" t="s">
        <v>38</v>
      </c>
      <c r="B15" t="s">
        <v>25</v>
      </c>
      <c r="C15" s="6">
        <v>0.5625</v>
      </c>
      <c r="D15" t="s">
        <v>38</v>
      </c>
      <c r="E15" t="s">
        <v>25</v>
      </c>
      <c r="F15" s="6">
        <v>0.5625</v>
      </c>
      <c r="G15" t="s">
        <v>38</v>
      </c>
      <c r="H15" t="s">
        <v>25</v>
      </c>
      <c r="I15" s="6">
        <v>0.5625</v>
      </c>
      <c r="J15" t="s">
        <v>38</v>
      </c>
      <c r="K15" t="s">
        <v>36</v>
      </c>
      <c r="L15" s="6">
        <v>0.55555555555555558</v>
      </c>
      <c r="M15" t="s">
        <v>38</v>
      </c>
      <c r="N15" t="s">
        <v>36</v>
      </c>
      <c r="O15" s="6">
        <v>0.5625</v>
      </c>
      <c r="P15" t="s">
        <v>38</v>
      </c>
      <c r="Q15" t="s">
        <v>25</v>
      </c>
      <c r="R15" s="6">
        <v>0.5625</v>
      </c>
      <c r="S15" t="s">
        <v>38</v>
      </c>
      <c r="T15" t="s">
        <v>25</v>
      </c>
      <c r="U15" s="6">
        <v>0.5625</v>
      </c>
      <c r="V15" t="s">
        <v>38</v>
      </c>
      <c r="W15" t="s">
        <v>25</v>
      </c>
      <c r="X15" s="6">
        <v>0.55555555555555558</v>
      </c>
    </row>
    <row r="16" spans="1:24" x14ac:dyDescent="0.1">
      <c r="B16" t="s">
        <v>275</v>
      </c>
      <c r="E16" t="s">
        <v>33</v>
      </c>
      <c r="H16" t="s">
        <v>228</v>
      </c>
      <c r="K16" t="s">
        <v>66</v>
      </c>
      <c r="N16" t="s">
        <v>60</v>
      </c>
      <c r="Q16" t="s">
        <v>33</v>
      </c>
      <c r="T16" t="s">
        <v>29</v>
      </c>
      <c r="W16" t="s">
        <v>31</v>
      </c>
    </row>
    <row r="17" spans="1:24" x14ac:dyDescent="0.1">
      <c r="A17" t="s">
        <v>40</v>
      </c>
      <c r="B17" t="s">
        <v>25</v>
      </c>
      <c r="C17" s="6">
        <v>0.58333333333333337</v>
      </c>
      <c r="D17" t="s">
        <v>40</v>
      </c>
      <c r="E17" t="s">
        <v>36</v>
      </c>
      <c r="F17" s="6">
        <v>0.58333333333333337</v>
      </c>
      <c r="G17" t="s">
        <v>40</v>
      </c>
      <c r="H17" t="s">
        <v>36</v>
      </c>
      <c r="I17" s="6">
        <v>0.58333333333333337</v>
      </c>
      <c r="J17" t="s">
        <v>40</v>
      </c>
      <c r="K17" t="s">
        <v>36</v>
      </c>
      <c r="L17" s="6">
        <v>0.57638888888888884</v>
      </c>
      <c r="M17" t="s">
        <v>40</v>
      </c>
      <c r="N17" t="s">
        <v>36</v>
      </c>
      <c r="O17" s="6">
        <v>0.58333333333333337</v>
      </c>
      <c r="P17" t="s">
        <v>40</v>
      </c>
      <c r="Q17" t="s">
        <v>36</v>
      </c>
      <c r="R17" s="6">
        <v>0.58333333333333337</v>
      </c>
      <c r="S17" t="s">
        <v>40</v>
      </c>
      <c r="T17" t="s">
        <v>36</v>
      </c>
      <c r="U17" s="6">
        <v>0.58333333333333337</v>
      </c>
      <c r="V17" t="s">
        <v>40</v>
      </c>
      <c r="W17" t="s">
        <v>36</v>
      </c>
      <c r="X17" s="6">
        <v>0.57638888888888884</v>
      </c>
    </row>
    <row r="18" spans="1:24" x14ac:dyDescent="0.1">
      <c r="B18" t="s">
        <v>29</v>
      </c>
      <c r="E18" t="s">
        <v>73</v>
      </c>
      <c r="H18" t="s">
        <v>45</v>
      </c>
      <c r="K18" t="s">
        <v>48</v>
      </c>
      <c r="N18" t="s">
        <v>279</v>
      </c>
      <c r="Q18" t="s">
        <v>39</v>
      </c>
      <c r="T18" t="s">
        <v>39</v>
      </c>
      <c r="W18" t="s">
        <v>48</v>
      </c>
    </row>
    <row r="19" spans="1:24" x14ac:dyDescent="0.1">
      <c r="A19" t="s">
        <v>42</v>
      </c>
      <c r="B19" t="s">
        <v>688</v>
      </c>
      <c r="C19" s="6">
        <v>0.60763888888888884</v>
      </c>
      <c r="D19" t="s">
        <v>42</v>
      </c>
      <c r="E19" t="s">
        <v>701</v>
      </c>
      <c r="F19" s="6">
        <v>0.60763888888888884</v>
      </c>
      <c r="G19" t="s">
        <v>42</v>
      </c>
      <c r="H19" t="s">
        <v>714</v>
      </c>
      <c r="I19" s="6">
        <v>0.60763888888888884</v>
      </c>
      <c r="J19" t="s">
        <v>42</v>
      </c>
      <c r="K19" t="s">
        <v>727</v>
      </c>
      <c r="L19" s="6">
        <v>0.59722222222222221</v>
      </c>
      <c r="M19" t="s">
        <v>42</v>
      </c>
      <c r="N19" t="s">
        <v>741</v>
      </c>
      <c r="O19" s="6">
        <v>0.60763888888888884</v>
      </c>
      <c r="P19" t="s">
        <v>42</v>
      </c>
      <c r="Q19" t="s">
        <v>750</v>
      </c>
      <c r="R19" s="6">
        <v>0.60763888888888884</v>
      </c>
      <c r="S19" t="s">
        <v>42</v>
      </c>
      <c r="T19" t="s">
        <v>763</v>
      </c>
      <c r="U19" s="6">
        <v>0.60763888888888884</v>
      </c>
      <c r="V19" t="s">
        <v>42</v>
      </c>
      <c r="W19" t="s">
        <v>779</v>
      </c>
      <c r="X19" s="6">
        <v>0.59722222222222221</v>
      </c>
    </row>
    <row r="20" spans="1:24" x14ac:dyDescent="0.1">
      <c r="B20" t="s">
        <v>44</v>
      </c>
      <c r="E20" t="s">
        <v>44</v>
      </c>
      <c r="H20" t="s">
        <v>36</v>
      </c>
      <c r="K20" t="s">
        <v>44</v>
      </c>
      <c r="N20" t="s">
        <v>44</v>
      </c>
      <c r="Q20" t="s">
        <v>36</v>
      </c>
      <c r="T20" t="s">
        <v>36</v>
      </c>
      <c r="W20" t="s">
        <v>780</v>
      </c>
    </row>
    <row r="21" spans="1:24" x14ac:dyDescent="0.1">
      <c r="B21" t="s">
        <v>279</v>
      </c>
      <c r="E21" t="s">
        <v>135</v>
      </c>
      <c r="H21" t="s">
        <v>60</v>
      </c>
      <c r="K21" t="s">
        <v>69</v>
      </c>
      <c r="N21" t="s">
        <v>73</v>
      </c>
      <c r="Q21" t="s">
        <v>58</v>
      </c>
      <c r="T21" t="s">
        <v>73</v>
      </c>
      <c r="W21" t="s">
        <v>44</v>
      </c>
    </row>
    <row r="22" spans="1:24" x14ac:dyDescent="0.1">
      <c r="A22" t="s">
        <v>46</v>
      </c>
      <c r="B22" t="s">
        <v>689</v>
      </c>
      <c r="C22" s="6">
        <v>0.63194444444444442</v>
      </c>
      <c r="D22" t="s">
        <v>46</v>
      </c>
      <c r="E22" t="s">
        <v>702</v>
      </c>
      <c r="F22" s="6">
        <v>0.63194444444444442</v>
      </c>
      <c r="G22" t="s">
        <v>46</v>
      </c>
      <c r="H22" t="s">
        <v>715</v>
      </c>
      <c r="I22" s="6">
        <v>0.63194444444444442</v>
      </c>
      <c r="J22" t="s">
        <v>46</v>
      </c>
      <c r="K22" t="s">
        <v>728</v>
      </c>
      <c r="L22" s="6">
        <v>0.62152777777777779</v>
      </c>
      <c r="M22" t="s">
        <v>46</v>
      </c>
      <c r="N22" t="s">
        <v>742</v>
      </c>
      <c r="O22" s="6">
        <v>0.63194444444444442</v>
      </c>
      <c r="P22" t="s">
        <v>46</v>
      </c>
      <c r="Q22" t="s">
        <v>751</v>
      </c>
      <c r="R22" s="6">
        <v>0.63194444444444442</v>
      </c>
      <c r="S22" t="s">
        <v>46</v>
      </c>
      <c r="T22" t="s">
        <v>764</v>
      </c>
      <c r="U22" s="6">
        <v>0.63194444444444442</v>
      </c>
      <c r="W22" t="s">
        <v>39</v>
      </c>
    </row>
    <row r="23" spans="1:24" x14ac:dyDescent="0.1">
      <c r="B23" t="s">
        <v>44</v>
      </c>
      <c r="E23" t="s">
        <v>71</v>
      </c>
      <c r="H23" t="s">
        <v>44</v>
      </c>
      <c r="K23" t="s">
        <v>44</v>
      </c>
      <c r="N23" t="s">
        <v>71</v>
      </c>
      <c r="Q23" t="s">
        <v>71</v>
      </c>
      <c r="T23" t="s">
        <v>44</v>
      </c>
      <c r="V23" t="s">
        <v>46</v>
      </c>
      <c r="W23" t="s">
        <v>781</v>
      </c>
      <c r="X23" s="6">
        <v>0.62152777777777779</v>
      </c>
    </row>
    <row r="24" spans="1:24" x14ac:dyDescent="0.1">
      <c r="B24" t="s">
        <v>45</v>
      </c>
      <c r="E24" t="s">
        <v>45</v>
      </c>
      <c r="H24" t="s">
        <v>45</v>
      </c>
      <c r="K24" t="s">
        <v>48</v>
      </c>
      <c r="N24" t="s">
        <v>69</v>
      </c>
      <c r="Q24" t="s">
        <v>45</v>
      </c>
      <c r="T24" t="s">
        <v>45</v>
      </c>
      <c r="W24" t="s">
        <v>44</v>
      </c>
    </row>
    <row r="25" spans="1:24" x14ac:dyDescent="0.1">
      <c r="A25" t="s">
        <v>49</v>
      </c>
      <c r="B25" t="s">
        <v>690</v>
      </c>
      <c r="C25" s="6">
        <v>0.65625</v>
      </c>
      <c r="D25" t="s">
        <v>49</v>
      </c>
      <c r="E25" t="s">
        <v>703</v>
      </c>
      <c r="F25" s="6">
        <v>0.65625</v>
      </c>
      <c r="G25" t="s">
        <v>49</v>
      </c>
      <c r="H25" t="s">
        <v>716</v>
      </c>
      <c r="I25" s="6">
        <v>0.65625</v>
      </c>
      <c r="J25" t="s">
        <v>49</v>
      </c>
      <c r="K25" t="s">
        <v>729</v>
      </c>
      <c r="L25" s="6">
        <v>0.64583333333333337</v>
      </c>
      <c r="M25" t="s">
        <v>49</v>
      </c>
      <c r="N25" t="s">
        <v>743</v>
      </c>
      <c r="O25" s="6">
        <v>0.65625</v>
      </c>
      <c r="P25" t="s">
        <v>49</v>
      </c>
      <c r="Q25" t="s">
        <v>93</v>
      </c>
      <c r="R25" s="6">
        <v>0.65625</v>
      </c>
      <c r="S25" t="s">
        <v>49</v>
      </c>
      <c r="T25" t="s">
        <v>765</v>
      </c>
      <c r="U25" s="6">
        <v>0.65625</v>
      </c>
      <c r="W25" t="s">
        <v>60</v>
      </c>
    </row>
    <row r="26" spans="1:24" x14ac:dyDescent="0.1">
      <c r="B26" t="s">
        <v>71</v>
      </c>
      <c r="E26" t="s">
        <v>225</v>
      </c>
      <c r="H26" t="s">
        <v>71</v>
      </c>
      <c r="K26" t="s">
        <v>51</v>
      </c>
      <c r="N26" t="s">
        <v>51</v>
      </c>
      <c r="Q26" t="s">
        <v>752</v>
      </c>
      <c r="T26" t="s">
        <v>71</v>
      </c>
      <c r="V26" t="s">
        <v>49</v>
      </c>
      <c r="W26" t="s">
        <v>782</v>
      </c>
      <c r="X26" s="6">
        <v>0.64583333333333337</v>
      </c>
    </row>
    <row r="27" spans="1:24" x14ac:dyDescent="0.1">
      <c r="B27" t="s">
        <v>60</v>
      </c>
      <c r="E27" t="s">
        <v>565</v>
      </c>
      <c r="H27" t="s">
        <v>279</v>
      </c>
      <c r="K27" t="s">
        <v>198</v>
      </c>
      <c r="N27" t="s">
        <v>103</v>
      </c>
      <c r="Q27" t="s">
        <v>51</v>
      </c>
      <c r="T27" t="s">
        <v>565</v>
      </c>
      <c r="W27" t="s">
        <v>51</v>
      </c>
    </row>
    <row r="28" spans="1:24" x14ac:dyDescent="0.1">
      <c r="A28" t="s">
        <v>53</v>
      </c>
      <c r="B28" t="s">
        <v>36</v>
      </c>
      <c r="C28" s="6">
        <v>0.6875</v>
      </c>
      <c r="D28" t="s">
        <v>53</v>
      </c>
      <c r="E28" t="s">
        <v>36</v>
      </c>
      <c r="F28" s="6">
        <v>0.6875</v>
      </c>
      <c r="G28" t="s">
        <v>53</v>
      </c>
      <c r="H28" t="s">
        <v>36</v>
      </c>
      <c r="I28" s="6">
        <v>0.6875</v>
      </c>
      <c r="J28" t="s">
        <v>53</v>
      </c>
      <c r="K28" t="s">
        <v>36</v>
      </c>
      <c r="L28" s="6">
        <v>0.67708333333333337</v>
      </c>
      <c r="M28" t="s">
        <v>53</v>
      </c>
      <c r="N28" t="s">
        <v>36</v>
      </c>
      <c r="O28" s="6">
        <v>0.6875</v>
      </c>
      <c r="Q28" t="s">
        <v>203</v>
      </c>
      <c r="S28" t="s">
        <v>53</v>
      </c>
      <c r="T28" t="s">
        <v>36</v>
      </c>
      <c r="U28" s="6">
        <v>0.6875</v>
      </c>
      <c r="W28" t="s">
        <v>783</v>
      </c>
    </row>
    <row r="29" spans="1:24" x14ac:dyDescent="0.1">
      <c r="B29" t="s">
        <v>39</v>
      </c>
      <c r="E29" t="s">
        <v>279</v>
      </c>
      <c r="H29" t="s">
        <v>196</v>
      </c>
      <c r="K29" t="s">
        <v>279</v>
      </c>
      <c r="N29" t="s">
        <v>45</v>
      </c>
      <c r="P29" t="s">
        <v>53</v>
      </c>
      <c r="Q29" t="s">
        <v>753</v>
      </c>
      <c r="R29" s="6">
        <v>0.6875</v>
      </c>
      <c r="T29" t="s">
        <v>279</v>
      </c>
      <c r="V29" t="s">
        <v>53</v>
      </c>
      <c r="W29" t="s">
        <v>36</v>
      </c>
      <c r="X29" s="6">
        <v>0.67708333333333337</v>
      </c>
    </row>
    <row r="30" spans="1:24" x14ac:dyDescent="0.1">
      <c r="Q30" t="s">
        <v>44</v>
      </c>
      <c r="W30" t="s">
        <v>45</v>
      </c>
    </row>
    <row r="31" spans="1:24" x14ac:dyDescent="0.1">
      <c r="Q31" t="s">
        <v>279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AADE-AB8E-4A03-8342-FA484279B3A1}">
  <sheetPr codeName="Sheet22"/>
  <dimension ref="A1:X32"/>
  <sheetViews>
    <sheetView workbookViewId="0"/>
  </sheetViews>
  <sheetFormatPr defaultRowHeight="13.5" x14ac:dyDescent="0.1"/>
  <cols>
    <col min="1" max="1" width="11.1796875" bestFit="1" customWidth="1"/>
    <col min="2" max="2" width="20.453125" bestFit="1" customWidth="1"/>
    <col min="3" max="3" width="9.26953125" bestFit="1" customWidth="1"/>
    <col min="4" max="4" width="11.1796875" bestFit="1" customWidth="1"/>
    <col min="5" max="5" width="20.453125" bestFit="1" customWidth="1"/>
    <col min="6" max="6" width="9.26953125" bestFit="1" customWidth="1"/>
    <col min="7" max="7" width="11.1796875" bestFit="1" customWidth="1"/>
    <col min="8" max="8" width="18.81640625" bestFit="1" customWidth="1"/>
    <col min="9" max="9" width="9.26953125" bestFit="1" customWidth="1"/>
    <col min="10" max="10" width="11.1796875" bestFit="1" customWidth="1"/>
    <col min="11" max="11" width="23.04296875" bestFit="1" customWidth="1"/>
    <col min="12" max="12" width="9.26953125" bestFit="1" customWidth="1"/>
    <col min="13" max="13" width="11.1796875" bestFit="1" customWidth="1"/>
    <col min="14" max="14" width="18.1328125" bestFit="1" customWidth="1"/>
    <col min="15" max="15" width="9.26953125" bestFit="1" customWidth="1"/>
    <col min="16" max="16" width="11.1796875" bestFit="1" customWidth="1"/>
    <col min="17" max="17" width="18.26953125" bestFit="1" customWidth="1"/>
    <col min="18" max="18" width="9.26953125" bestFit="1" customWidth="1"/>
    <col min="19" max="19" width="11.1796875" bestFit="1" customWidth="1"/>
    <col min="20" max="20" width="24.81640625" bestFit="1" customWidth="1"/>
    <col min="21" max="21" width="9.26953125" bestFit="1" customWidth="1"/>
    <col min="22" max="22" width="11.1796875" bestFit="1" customWidth="1"/>
    <col min="23" max="23" width="22.90625" bestFit="1" customWidth="1"/>
    <col min="24" max="24" width="9.26953125" bestFit="1" customWidth="1"/>
  </cols>
  <sheetData>
    <row r="1" spans="1:24" x14ac:dyDescent="0.1">
      <c r="A1" t="s">
        <v>691</v>
      </c>
      <c r="D1" t="s">
        <v>704</v>
      </c>
      <c r="G1" t="s">
        <v>717</v>
      </c>
      <c r="J1" t="s">
        <v>730</v>
      </c>
      <c r="M1" t="s">
        <v>744</v>
      </c>
      <c r="P1" t="s">
        <v>754</v>
      </c>
      <c r="S1" t="s">
        <v>766</v>
      </c>
      <c r="V1" t="s">
        <v>784</v>
      </c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28</v>
      </c>
      <c r="C3" s="6">
        <v>0.41319444444444442</v>
      </c>
      <c r="D3" t="s">
        <v>24</v>
      </c>
      <c r="E3" t="s">
        <v>25</v>
      </c>
      <c r="F3" s="6">
        <v>0.41319444444444442</v>
      </c>
      <c r="G3" t="s">
        <v>24</v>
      </c>
      <c r="H3" t="s">
        <v>87</v>
      </c>
      <c r="I3" s="6">
        <v>0.41319444444444442</v>
      </c>
      <c r="J3" t="s">
        <v>24</v>
      </c>
      <c r="K3" t="s">
        <v>87</v>
      </c>
      <c r="L3" s="6">
        <v>0.4201388888888889</v>
      </c>
      <c r="M3" t="s">
        <v>24</v>
      </c>
      <c r="N3" t="s">
        <v>28</v>
      </c>
      <c r="O3" s="6">
        <v>0.41319444444444442</v>
      </c>
      <c r="P3" t="s">
        <v>24</v>
      </c>
      <c r="Q3" t="s">
        <v>25</v>
      </c>
      <c r="R3" s="6">
        <v>0.41319444444444442</v>
      </c>
      <c r="S3" t="s">
        <v>24</v>
      </c>
      <c r="T3" t="s">
        <v>87</v>
      </c>
      <c r="U3" s="6">
        <v>0.41319444444444442</v>
      </c>
      <c r="V3" t="s">
        <v>24</v>
      </c>
      <c r="W3" t="s">
        <v>87</v>
      </c>
      <c r="X3" s="6">
        <v>0.4201388888888889</v>
      </c>
    </row>
    <row r="4" spans="1:24" x14ac:dyDescent="0.1">
      <c r="B4" t="s">
        <v>33</v>
      </c>
      <c r="E4" t="s">
        <v>429</v>
      </c>
      <c r="H4" t="s">
        <v>718</v>
      </c>
      <c r="K4" t="s">
        <v>718</v>
      </c>
      <c r="N4" t="s">
        <v>33</v>
      </c>
      <c r="Q4" t="s">
        <v>429</v>
      </c>
      <c r="T4" t="s">
        <v>718</v>
      </c>
      <c r="W4" t="s">
        <v>718</v>
      </c>
    </row>
    <row r="5" spans="1:24" x14ac:dyDescent="0.1">
      <c r="A5" t="s">
        <v>27</v>
      </c>
      <c r="B5" t="s">
        <v>25</v>
      </c>
      <c r="C5" s="6">
        <v>0.4375</v>
      </c>
      <c r="D5" t="s">
        <v>27</v>
      </c>
      <c r="E5" t="s">
        <v>25</v>
      </c>
      <c r="F5" s="6">
        <v>0.4375</v>
      </c>
      <c r="G5" t="s">
        <v>27</v>
      </c>
      <c r="H5" t="s">
        <v>25</v>
      </c>
      <c r="I5" s="6">
        <v>0.4375</v>
      </c>
      <c r="J5" t="s">
        <v>27</v>
      </c>
      <c r="K5" t="s">
        <v>28</v>
      </c>
      <c r="L5" s="6">
        <v>0.44444444444444442</v>
      </c>
      <c r="M5" t="s">
        <v>27</v>
      </c>
      <c r="N5" t="s">
        <v>25</v>
      </c>
      <c r="O5" s="6">
        <v>0.4375</v>
      </c>
      <c r="P5" t="s">
        <v>27</v>
      </c>
      <c r="Q5" t="s">
        <v>25</v>
      </c>
      <c r="R5" s="6">
        <v>0.4375</v>
      </c>
      <c r="S5" t="s">
        <v>27</v>
      </c>
      <c r="T5" t="s">
        <v>28</v>
      </c>
      <c r="U5" s="6">
        <v>0.4375</v>
      </c>
      <c r="V5" t="s">
        <v>27</v>
      </c>
      <c r="W5" t="s">
        <v>25</v>
      </c>
      <c r="X5" s="6">
        <v>0.44444444444444442</v>
      </c>
    </row>
    <row r="6" spans="1:24" x14ac:dyDescent="0.1">
      <c r="B6" t="s">
        <v>55</v>
      </c>
      <c r="E6" t="s">
        <v>65</v>
      </c>
      <c r="H6" t="s">
        <v>33</v>
      </c>
      <c r="K6" t="s">
        <v>692</v>
      </c>
      <c r="N6" t="s">
        <v>31</v>
      </c>
      <c r="Q6" t="s">
        <v>55</v>
      </c>
      <c r="T6" t="s">
        <v>65</v>
      </c>
      <c r="W6" t="s">
        <v>33</v>
      </c>
    </row>
    <row r="7" spans="1:24" x14ac:dyDescent="0.1">
      <c r="A7" t="s">
        <v>30</v>
      </c>
      <c r="B7" t="s">
        <v>25</v>
      </c>
      <c r="C7" s="6">
        <v>0.45833333333333331</v>
      </c>
      <c r="D7" t="s">
        <v>30</v>
      </c>
      <c r="E7" t="s">
        <v>25</v>
      </c>
      <c r="F7" s="6">
        <v>0.45833333333333331</v>
      </c>
      <c r="G7" t="s">
        <v>30</v>
      </c>
      <c r="H7" t="s">
        <v>25</v>
      </c>
      <c r="I7" s="6">
        <v>0.45833333333333331</v>
      </c>
      <c r="J7" t="s">
        <v>30</v>
      </c>
      <c r="K7" t="s">
        <v>25</v>
      </c>
      <c r="L7" s="6">
        <v>0.46527777777777779</v>
      </c>
      <c r="M7" t="s">
        <v>30</v>
      </c>
      <c r="N7" t="s">
        <v>25</v>
      </c>
      <c r="O7" s="6">
        <v>0.45833333333333331</v>
      </c>
      <c r="P7" t="s">
        <v>30</v>
      </c>
      <c r="Q7" t="s">
        <v>25</v>
      </c>
      <c r="R7" s="6">
        <v>0.45833333333333331</v>
      </c>
      <c r="S7" t="s">
        <v>30</v>
      </c>
      <c r="T7" t="s">
        <v>25</v>
      </c>
      <c r="U7" s="6">
        <v>0.45833333333333331</v>
      </c>
      <c r="V7" t="s">
        <v>30</v>
      </c>
      <c r="W7" t="s">
        <v>25</v>
      </c>
      <c r="X7" s="6">
        <v>0.46527777777777779</v>
      </c>
    </row>
    <row r="8" spans="1:24" x14ac:dyDescent="0.1">
      <c r="B8" t="s">
        <v>275</v>
      </c>
      <c r="E8" t="s">
        <v>33</v>
      </c>
      <c r="H8" t="s">
        <v>149</v>
      </c>
      <c r="K8" t="s">
        <v>228</v>
      </c>
      <c r="N8" t="s">
        <v>228</v>
      </c>
      <c r="Q8" t="s">
        <v>29</v>
      </c>
      <c r="T8" t="s">
        <v>55</v>
      </c>
      <c r="W8" t="s">
        <v>26</v>
      </c>
    </row>
    <row r="9" spans="1:24" x14ac:dyDescent="0.1">
      <c r="A9" t="s">
        <v>32</v>
      </c>
      <c r="B9" t="s">
        <v>25</v>
      </c>
      <c r="C9" s="6">
        <v>0.47916666666666669</v>
      </c>
      <c r="D9" t="s">
        <v>32</v>
      </c>
      <c r="E9" t="s">
        <v>25</v>
      </c>
      <c r="F9" s="6">
        <v>0.47916666666666669</v>
      </c>
      <c r="G9" t="s">
        <v>32</v>
      </c>
      <c r="H9" t="s">
        <v>25</v>
      </c>
      <c r="I9" s="6">
        <v>0.47916666666666669</v>
      </c>
      <c r="J9" t="s">
        <v>32</v>
      </c>
      <c r="K9" t="s">
        <v>25</v>
      </c>
      <c r="L9" s="6">
        <v>0.4861111111111111</v>
      </c>
      <c r="M9" t="s">
        <v>32</v>
      </c>
      <c r="N9" t="s">
        <v>25</v>
      </c>
      <c r="O9" s="6">
        <v>0.47916666666666669</v>
      </c>
      <c r="P9" t="s">
        <v>32</v>
      </c>
      <c r="Q9" t="s">
        <v>25</v>
      </c>
      <c r="R9" s="6">
        <v>0.47916666666666669</v>
      </c>
      <c r="S9" t="s">
        <v>32</v>
      </c>
      <c r="T9" t="s">
        <v>767</v>
      </c>
      <c r="U9" s="6">
        <v>0.47916666666666669</v>
      </c>
      <c r="V9" t="s">
        <v>32</v>
      </c>
      <c r="W9" t="s">
        <v>25</v>
      </c>
      <c r="X9" s="6">
        <v>0.4861111111111111</v>
      </c>
    </row>
    <row r="10" spans="1:24" x14ac:dyDescent="0.1">
      <c r="B10" t="s">
        <v>31</v>
      </c>
      <c r="E10" t="s">
        <v>31</v>
      </c>
      <c r="H10" t="s">
        <v>26</v>
      </c>
      <c r="K10" t="s">
        <v>55</v>
      </c>
      <c r="N10" t="s">
        <v>31</v>
      </c>
      <c r="Q10" t="s">
        <v>65</v>
      </c>
      <c r="T10" t="s">
        <v>163</v>
      </c>
      <c r="W10" t="s">
        <v>29</v>
      </c>
    </row>
    <row r="11" spans="1:24" x14ac:dyDescent="0.1">
      <c r="A11" t="s">
        <v>34</v>
      </c>
      <c r="B11" t="s">
        <v>56</v>
      </c>
      <c r="C11" s="6">
        <v>0.51388888888888884</v>
      </c>
      <c r="D11" t="s">
        <v>34</v>
      </c>
      <c r="E11" t="s">
        <v>56</v>
      </c>
      <c r="F11" s="6">
        <v>0.51388888888888884</v>
      </c>
      <c r="G11" t="s">
        <v>34</v>
      </c>
      <c r="H11" t="s">
        <v>56</v>
      </c>
      <c r="I11" s="6">
        <v>0.51388888888888884</v>
      </c>
      <c r="J11" t="s">
        <v>34</v>
      </c>
      <c r="K11" t="s">
        <v>56</v>
      </c>
      <c r="L11" s="6">
        <v>0.52083333333333337</v>
      </c>
      <c r="M11" t="s">
        <v>34</v>
      </c>
      <c r="N11" t="s">
        <v>56</v>
      </c>
      <c r="O11" s="6">
        <v>0.51388888888888884</v>
      </c>
      <c r="P11" t="s">
        <v>34</v>
      </c>
      <c r="Q11" t="s">
        <v>56</v>
      </c>
      <c r="R11" s="6">
        <v>0.51388888888888884</v>
      </c>
      <c r="T11" t="s">
        <v>768</v>
      </c>
      <c r="V11" t="s">
        <v>34</v>
      </c>
      <c r="W11" t="s">
        <v>56</v>
      </c>
      <c r="X11" s="6">
        <v>0.52083333333333337</v>
      </c>
    </row>
    <row r="12" spans="1:24" x14ac:dyDescent="0.1">
      <c r="B12" t="s">
        <v>692</v>
      </c>
      <c r="E12" t="s">
        <v>33</v>
      </c>
      <c r="H12" t="s">
        <v>33</v>
      </c>
      <c r="K12" t="s">
        <v>65</v>
      </c>
      <c r="N12" t="s">
        <v>275</v>
      </c>
      <c r="Q12" t="s">
        <v>29</v>
      </c>
      <c r="S12" t="s">
        <v>34</v>
      </c>
      <c r="T12" t="s">
        <v>56</v>
      </c>
      <c r="U12" s="6">
        <v>0.51388888888888884</v>
      </c>
      <c r="W12" t="s">
        <v>65</v>
      </c>
    </row>
    <row r="13" spans="1:24" x14ac:dyDescent="0.1">
      <c r="A13" t="s">
        <v>35</v>
      </c>
      <c r="B13" t="s">
        <v>25</v>
      </c>
      <c r="C13" s="6">
        <v>0.53472222222222221</v>
      </c>
      <c r="D13" t="s">
        <v>35</v>
      </c>
      <c r="E13" t="s">
        <v>56</v>
      </c>
      <c r="F13" s="6">
        <v>0.53472222222222221</v>
      </c>
      <c r="G13" t="s">
        <v>35</v>
      </c>
      <c r="H13" t="s">
        <v>25</v>
      </c>
      <c r="I13" s="6">
        <v>0.53472222222222221</v>
      </c>
      <c r="J13" t="s">
        <v>35</v>
      </c>
      <c r="K13" t="s">
        <v>56</v>
      </c>
      <c r="L13" s="6">
        <v>0.54166666666666663</v>
      </c>
      <c r="M13" t="s">
        <v>35</v>
      </c>
      <c r="N13" t="s">
        <v>25</v>
      </c>
      <c r="O13" s="6">
        <v>0.53472222222222221</v>
      </c>
      <c r="P13" t="s">
        <v>35</v>
      </c>
      <c r="Q13" t="s">
        <v>56</v>
      </c>
      <c r="R13" s="6">
        <v>0.53472222222222221</v>
      </c>
      <c r="T13" t="s">
        <v>33</v>
      </c>
      <c r="V13" t="s">
        <v>35</v>
      </c>
      <c r="W13" t="s">
        <v>25</v>
      </c>
      <c r="X13" s="6">
        <v>0.54166666666666663</v>
      </c>
    </row>
    <row r="14" spans="1:24" x14ac:dyDescent="0.1">
      <c r="B14" t="s">
        <v>29</v>
      </c>
      <c r="E14" t="s">
        <v>692</v>
      </c>
      <c r="H14" t="s">
        <v>31</v>
      </c>
      <c r="K14" t="s">
        <v>31</v>
      </c>
      <c r="N14" t="s">
        <v>33</v>
      </c>
      <c r="Q14" t="s">
        <v>33</v>
      </c>
      <c r="S14" t="s">
        <v>35</v>
      </c>
      <c r="T14" t="s">
        <v>25</v>
      </c>
      <c r="U14" s="6">
        <v>0.53472222222222221</v>
      </c>
      <c r="W14" t="s">
        <v>31</v>
      </c>
    </row>
    <row r="15" spans="1:24" x14ac:dyDescent="0.1">
      <c r="A15" t="s">
        <v>38</v>
      </c>
      <c r="B15" t="s">
        <v>36</v>
      </c>
      <c r="C15" s="6">
        <v>0.55555555555555558</v>
      </c>
      <c r="D15" t="s">
        <v>38</v>
      </c>
      <c r="E15" t="s">
        <v>36</v>
      </c>
      <c r="F15" s="6">
        <v>0.55555555555555558</v>
      </c>
      <c r="G15" t="s">
        <v>38</v>
      </c>
      <c r="H15" t="s">
        <v>25</v>
      </c>
      <c r="I15" s="6">
        <v>0.55555555555555558</v>
      </c>
      <c r="J15" t="s">
        <v>38</v>
      </c>
      <c r="K15" t="s">
        <v>25</v>
      </c>
      <c r="L15" s="6">
        <v>0.5625</v>
      </c>
      <c r="M15" t="s">
        <v>38</v>
      </c>
      <c r="N15" t="s">
        <v>36</v>
      </c>
      <c r="O15" s="6">
        <v>0.55555555555555558</v>
      </c>
      <c r="P15" t="s">
        <v>38</v>
      </c>
      <c r="Q15" t="s">
        <v>36</v>
      </c>
      <c r="R15" s="6">
        <v>0.55555555555555558</v>
      </c>
      <c r="T15" t="s">
        <v>31</v>
      </c>
      <c r="V15" t="s">
        <v>38</v>
      </c>
      <c r="W15" t="s">
        <v>36</v>
      </c>
      <c r="X15" s="6">
        <v>0.5625</v>
      </c>
    </row>
    <row r="16" spans="1:24" x14ac:dyDescent="0.1">
      <c r="B16" t="s">
        <v>66</v>
      </c>
      <c r="E16" t="s">
        <v>37</v>
      </c>
      <c r="H16" t="s">
        <v>65</v>
      </c>
      <c r="K16" t="s">
        <v>33</v>
      </c>
      <c r="N16" t="s">
        <v>48</v>
      </c>
      <c r="Q16" t="s">
        <v>45</v>
      </c>
      <c r="S16" t="s">
        <v>38</v>
      </c>
      <c r="T16" t="s">
        <v>25</v>
      </c>
      <c r="U16" s="6">
        <v>0.55555555555555558</v>
      </c>
      <c r="W16" t="s">
        <v>39</v>
      </c>
    </row>
    <row r="17" spans="1:24" x14ac:dyDescent="0.1">
      <c r="A17" t="s">
        <v>40</v>
      </c>
      <c r="B17" t="s">
        <v>36</v>
      </c>
      <c r="C17" s="6">
        <v>0.57638888888888884</v>
      </c>
      <c r="D17" t="s">
        <v>40</v>
      </c>
      <c r="E17" t="s">
        <v>36</v>
      </c>
      <c r="F17" s="6">
        <v>0.57638888888888884</v>
      </c>
      <c r="G17" t="s">
        <v>40</v>
      </c>
      <c r="H17" t="s">
        <v>36</v>
      </c>
      <c r="I17" s="6">
        <v>0.57638888888888884</v>
      </c>
      <c r="J17" t="s">
        <v>40</v>
      </c>
      <c r="K17" t="s">
        <v>36</v>
      </c>
      <c r="L17" s="6">
        <v>0.58333333333333337</v>
      </c>
      <c r="M17" t="s">
        <v>40</v>
      </c>
      <c r="N17" t="s">
        <v>36</v>
      </c>
      <c r="O17" s="6">
        <v>0.57638888888888884</v>
      </c>
      <c r="P17" t="s">
        <v>40</v>
      </c>
      <c r="Q17" t="s">
        <v>36</v>
      </c>
      <c r="R17" s="6">
        <v>0.57638888888888884</v>
      </c>
      <c r="T17" t="s">
        <v>65</v>
      </c>
      <c r="V17" t="s">
        <v>40</v>
      </c>
      <c r="W17" t="s">
        <v>36</v>
      </c>
      <c r="X17" s="6">
        <v>0.58333333333333337</v>
      </c>
    </row>
    <row r="18" spans="1:24" x14ac:dyDescent="0.1">
      <c r="B18" t="s">
        <v>39</v>
      </c>
      <c r="E18" t="s">
        <v>58</v>
      </c>
      <c r="H18" t="s">
        <v>37</v>
      </c>
      <c r="K18" t="s">
        <v>60</v>
      </c>
      <c r="N18" t="s">
        <v>66</v>
      </c>
      <c r="Q18" t="s">
        <v>58</v>
      </c>
      <c r="S18" t="s">
        <v>40</v>
      </c>
      <c r="T18" t="s">
        <v>36</v>
      </c>
      <c r="U18" s="6">
        <v>0.57638888888888884</v>
      </c>
      <c r="W18" t="s">
        <v>37</v>
      </c>
    </row>
    <row r="19" spans="1:24" x14ac:dyDescent="0.1">
      <c r="A19" t="s">
        <v>42</v>
      </c>
      <c r="B19" t="s">
        <v>693</v>
      </c>
      <c r="C19" s="6">
        <v>0.59722222222222221</v>
      </c>
      <c r="D19" t="s">
        <v>42</v>
      </c>
      <c r="E19" t="s">
        <v>705</v>
      </c>
      <c r="F19" s="6">
        <v>0.59722222222222221</v>
      </c>
      <c r="G19" t="s">
        <v>42</v>
      </c>
      <c r="H19" t="s">
        <v>719</v>
      </c>
      <c r="I19" s="6">
        <v>0.59722222222222221</v>
      </c>
      <c r="J19" t="s">
        <v>42</v>
      </c>
      <c r="K19" t="s">
        <v>731</v>
      </c>
      <c r="L19" s="6">
        <v>0.60763888888888884</v>
      </c>
      <c r="M19" t="s">
        <v>42</v>
      </c>
      <c r="N19" t="s">
        <v>745</v>
      </c>
      <c r="O19" s="6">
        <v>0.59722222222222221</v>
      </c>
      <c r="P19" t="s">
        <v>42</v>
      </c>
      <c r="Q19" t="s">
        <v>755</v>
      </c>
      <c r="R19" s="6">
        <v>0.59722222222222221</v>
      </c>
      <c r="T19" t="s">
        <v>60</v>
      </c>
      <c r="V19" t="s">
        <v>42</v>
      </c>
      <c r="W19" t="s">
        <v>785</v>
      </c>
      <c r="X19" s="6">
        <v>0.60763888888888884</v>
      </c>
    </row>
    <row r="20" spans="1:24" x14ac:dyDescent="0.1">
      <c r="B20" t="s">
        <v>36</v>
      </c>
      <c r="E20" t="s">
        <v>44</v>
      </c>
      <c r="H20" t="s">
        <v>36</v>
      </c>
      <c r="K20" t="s">
        <v>36</v>
      </c>
      <c r="N20" t="s">
        <v>36</v>
      </c>
      <c r="Q20" t="s">
        <v>44</v>
      </c>
      <c r="S20" t="s">
        <v>42</v>
      </c>
      <c r="T20" t="s">
        <v>769</v>
      </c>
      <c r="U20" s="6">
        <v>0.59722222222222221</v>
      </c>
      <c r="W20" t="s">
        <v>44</v>
      </c>
    </row>
    <row r="21" spans="1:24" x14ac:dyDescent="0.1">
      <c r="B21" t="s">
        <v>60</v>
      </c>
      <c r="E21" t="s">
        <v>73</v>
      </c>
      <c r="H21" t="s">
        <v>39</v>
      </c>
      <c r="K21" t="s">
        <v>48</v>
      </c>
      <c r="N21" t="s">
        <v>73</v>
      </c>
      <c r="Q21" t="s">
        <v>45</v>
      </c>
      <c r="T21" t="s">
        <v>64</v>
      </c>
      <c r="W21" t="s">
        <v>48</v>
      </c>
    </row>
    <row r="22" spans="1:24" x14ac:dyDescent="0.1">
      <c r="A22" t="s">
        <v>46</v>
      </c>
      <c r="B22" t="s">
        <v>694</v>
      </c>
      <c r="C22" s="6">
        <v>0.62152777777777779</v>
      </c>
      <c r="D22" t="s">
        <v>46</v>
      </c>
      <c r="E22" t="s">
        <v>706</v>
      </c>
      <c r="F22" s="6">
        <v>0.62152777777777779</v>
      </c>
      <c r="G22" t="s">
        <v>46</v>
      </c>
      <c r="H22" t="s">
        <v>720</v>
      </c>
      <c r="I22" s="6">
        <v>0.62152777777777779</v>
      </c>
      <c r="J22" t="s">
        <v>46</v>
      </c>
      <c r="K22" t="s">
        <v>732</v>
      </c>
      <c r="L22" s="6">
        <v>0.63194444444444442</v>
      </c>
      <c r="M22" t="s">
        <v>46</v>
      </c>
      <c r="N22" t="s">
        <v>746</v>
      </c>
      <c r="O22" s="6">
        <v>0.62152777777777779</v>
      </c>
      <c r="P22" t="s">
        <v>46</v>
      </c>
      <c r="Q22" t="s">
        <v>756</v>
      </c>
      <c r="R22" s="6">
        <v>0.62152777777777779</v>
      </c>
      <c r="T22" t="s">
        <v>770</v>
      </c>
      <c r="V22" t="s">
        <v>46</v>
      </c>
      <c r="W22" t="s">
        <v>786</v>
      </c>
      <c r="X22" s="6">
        <v>0.63194444444444442</v>
      </c>
    </row>
    <row r="23" spans="1:24" x14ac:dyDescent="0.1">
      <c r="B23" t="s">
        <v>44</v>
      </c>
      <c r="E23" t="s">
        <v>44</v>
      </c>
      <c r="H23" t="s">
        <v>44</v>
      </c>
      <c r="K23" t="s">
        <v>44</v>
      </c>
      <c r="N23" t="s">
        <v>44</v>
      </c>
      <c r="Q23" t="s">
        <v>44</v>
      </c>
      <c r="S23" t="s">
        <v>46</v>
      </c>
      <c r="T23" t="s">
        <v>771</v>
      </c>
      <c r="U23" s="6">
        <v>0.62152777777777779</v>
      </c>
      <c r="W23" t="s">
        <v>71</v>
      </c>
    </row>
    <row r="24" spans="1:24" x14ac:dyDescent="0.1">
      <c r="B24" t="s">
        <v>39</v>
      </c>
      <c r="E24" t="s">
        <v>198</v>
      </c>
      <c r="H24" t="s">
        <v>37</v>
      </c>
      <c r="K24" t="s">
        <v>66</v>
      </c>
      <c r="N24" t="s">
        <v>39</v>
      </c>
      <c r="Q24" t="s">
        <v>203</v>
      </c>
      <c r="T24" t="s">
        <v>44</v>
      </c>
      <c r="W24" t="s">
        <v>198</v>
      </c>
    </row>
    <row r="25" spans="1:24" x14ac:dyDescent="0.1">
      <c r="A25" t="s">
        <v>49</v>
      </c>
      <c r="B25" t="s">
        <v>695</v>
      </c>
      <c r="C25" s="6">
        <v>0.64583333333333337</v>
      </c>
      <c r="D25" t="s">
        <v>49</v>
      </c>
      <c r="E25" t="s">
        <v>707</v>
      </c>
      <c r="F25" s="6">
        <v>0.64583333333333337</v>
      </c>
      <c r="G25" t="s">
        <v>49</v>
      </c>
      <c r="H25" t="s">
        <v>721</v>
      </c>
      <c r="I25" s="6">
        <v>0.64583333333333337</v>
      </c>
      <c r="J25" t="s">
        <v>49</v>
      </c>
      <c r="K25" t="s">
        <v>129</v>
      </c>
      <c r="L25" s="6">
        <v>0.65625</v>
      </c>
      <c r="M25" t="s">
        <v>49</v>
      </c>
      <c r="N25" t="s">
        <v>747</v>
      </c>
      <c r="O25" s="6">
        <v>0.64583333333333337</v>
      </c>
      <c r="P25" t="s">
        <v>49</v>
      </c>
      <c r="Q25" t="s">
        <v>757</v>
      </c>
      <c r="R25" s="6">
        <v>0.64583333333333337</v>
      </c>
      <c r="T25" t="s">
        <v>45</v>
      </c>
      <c r="V25" t="s">
        <v>49</v>
      </c>
      <c r="W25" t="s">
        <v>93</v>
      </c>
      <c r="X25" s="6">
        <v>0.65625</v>
      </c>
    </row>
    <row r="26" spans="1:24" x14ac:dyDescent="0.1">
      <c r="B26" t="s">
        <v>71</v>
      </c>
      <c r="E26" t="s">
        <v>71</v>
      </c>
      <c r="H26" t="s">
        <v>71</v>
      </c>
      <c r="K26" t="s">
        <v>733</v>
      </c>
      <c r="N26" t="s">
        <v>71</v>
      </c>
      <c r="Q26" t="s">
        <v>51</v>
      </c>
      <c r="S26" t="s">
        <v>49</v>
      </c>
      <c r="T26" t="s">
        <v>772</v>
      </c>
      <c r="U26" s="6">
        <v>0.64583333333333337</v>
      </c>
      <c r="W26" t="s">
        <v>94</v>
      </c>
    </row>
    <row r="27" spans="1:24" x14ac:dyDescent="0.1">
      <c r="B27" t="s">
        <v>45</v>
      </c>
      <c r="E27" t="s">
        <v>69</v>
      </c>
      <c r="H27" t="s">
        <v>48</v>
      </c>
      <c r="K27" t="s">
        <v>734</v>
      </c>
      <c r="N27" t="s">
        <v>37</v>
      </c>
      <c r="Q27" t="s">
        <v>231</v>
      </c>
      <c r="T27" t="s">
        <v>71</v>
      </c>
      <c r="W27" t="s">
        <v>787</v>
      </c>
    </row>
    <row r="28" spans="1:24" x14ac:dyDescent="0.1">
      <c r="A28" t="s">
        <v>53</v>
      </c>
      <c r="B28" t="s">
        <v>36</v>
      </c>
      <c r="C28" s="6">
        <v>0.67708333333333337</v>
      </c>
      <c r="D28" t="s">
        <v>53</v>
      </c>
      <c r="E28" t="s">
        <v>36</v>
      </c>
      <c r="F28" s="6">
        <v>0.67708333333333337</v>
      </c>
      <c r="G28" t="s">
        <v>53</v>
      </c>
      <c r="H28" t="s">
        <v>36</v>
      </c>
      <c r="I28" s="6">
        <v>0.67708333333333337</v>
      </c>
      <c r="K28" t="s">
        <v>51</v>
      </c>
      <c r="M28" t="s">
        <v>53</v>
      </c>
      <c r="N28" t="s">
        <v>36</v>
      </c>
      <c r="O28" s="6">
        <v>0.67708333333333337</v>
      </c>
      <c r="P28" t="s">
        <v>53</v>
      </c>
      <c r="Q28" t="s">
        <v>36</v>
      </c>
      <c r="R28" s="6">
        <v>0.67708333333333337</v>
      </c>
      <c r="T28" t="s">
        <v>39</v>
      </c>
      <c r="W28" t="s">
        <v>51</v>
      </c>
    </row>
    <row r="29" spans="1:24" x14ac:dyDescent="0.1">
      <c r="B29" t="s">
        <v>39</v>
      </c>
      <c r="E29" t="s">
        <v>45</v>
      </c>
      <c r="H29" t="s">
        <v>196</v>
      </c>
      <c r="K29" t="s">
        <v>69</v>
      </c>
      <c r="N29" t="s">
        <v>39</v>
      </c>
      <c r="Q29" t="s">
        <v>39</v>
      </c>
      <c r="S29" t="s">
        <v>53</v>
      </c>
      <c r="T29" t="s">
        <v>36</v>
      </c>
      <c r="U29" s="6">
        <v>0.67708333333333337</v>
      </c>
      <c r="W29" t="s">
        <v>203</v>
      </c>
    </row>
    <row r="30" spans="1:24" x14ac:dyDescent="0.1">
      <c r="J30" t="s">
        <v>53</v>
      </c>
      <c r="K30" t="s">
        <v>36</v>
      </c>
      <c r="L30" s="6">
        <v>0.6875</v>
      </c>
      <c r="T30" t="s">
        <v>45</v>
      </c>
      <c r="V30" t="s">
        <v>53</v>
      </c>
      <c r="W30" t="s">
        <v>788</v>
      </c>
      <c r="X30" s="6">
        <v>0.6875</v>
      </c>
    </row>
    <row r="31" spans="1:24" x14ac:dyDescent="0.1">
      <c r="K31" t="s">
        <v>45</v>
      </c>
      <c r="W31" t="s">
        <v>36</v>
      </c>
    </row>
    <row r="32" spans="1:24" x14ac:dyDescent="0.1">
      <c r="W32" t="s">
        <v>48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82D0-6009-4EAA-85A6-2E0E8133A6EC}">
  <sheetPr codeName="Sheet23"/>
  <dimension ref="A1:X30"/>
  <sheetViews>
    <sheetView workbookViewId="0"/>
  </sheetViews>
  <sheetFormatPr defaultRowHeight="13.5" x14ac:dyDescent="0.1"/>
  <cols>
    <col min="1" max="1" width="11.1796875" bestFit="1" customWidth="1"/>
    <col min="2" max="2" width="21.26953125" bestFit="1" customWidth="1"/>
    <col min="3" max="3" width="9.26953125" bestFit="1" customWidth="1"/>
    <col min="4" max="4" width="11.1796875" bestFit="1" customWidth="1"/>
    <col min="5" max="5" width="22.2265625" bestFit="1" customWidth="1"/>
    <col min="6" max="6" width="9.26953125" bestFit="1" customWidth="1"/>
    <col min="7" max="7" width="11.1796875" bestFit="1" customWidth="1"/>
    <col min="8" max="8" width="17.1796875" bestFit="1" customWidth="1"/>
    <col min="9" max="9" width="9.26953125" bestFit="1" customWidth="1"/>
    <col min="10" max="10" width="11.1796875" bestFit="1" customWidth="1"/>
    <col min="11" max="11" width="34.36328125" bestFit="1" customWidth="1"/>
    <col min="12" max="12" width="9.26953125" bestFit="1" customWidth="1"/>
    <col min="13" max="13" width="11.1796875" bestFit="1" customWidth="1"/>
    <col min="14" max="14" width="21.26953125" bestFit="1" customWidth="1"/>
    <col min="15" max="15" width="9.26953125" bestFit="1" customWidth="1"/>
    <col min="16" max="16" width="11.1796875" bestFit="1" customWidth="1"/>
    <col min="17" max="17" width="30.81640625" bestFit="1" customWidth="1"/>
    <col min="18" max="18" width="9.26953125" bestFit="1" customWidth="1"/>
    <col min="19" max="19" width="11.1796875" bestFit="1" customWidth="1"/>
    <col min="20" max="20" width="37.2265625" bestFit="1" customWidth="1"/>
    <col min="21" max="21" width="9.26953125" bestFit="1" customWidth="1"/>
    <col min="22" max="22" width="11.1796875" bestFit="1" customWidth="1"/>
    <col min="23" max="23" width="21.26953125" bestFit="1" customWidth="1"/>
    <col min="24" max="24" width="9.26953125" bestFit="1" customWidth="1"/>
  </cols>
  <sheetData>
    <row r="1" spans="1:24" x14ac:dyDescent="0.1">
      <c r="A1" t="s">
        <v>793</v>
      </c>
      <c r="D1" t="s">
        <v>806</v>
      </c>
      <c r="G1" t="s">
        <v>824</v>
      </c>
      <c r="J1" t="s">
        <v>838</v>
      </c>
      <c r="M1" t="s">
        <v>238</v>
      </c>
      <c r="N1" s="1"/>
      <c r="P1" t="s">
        <v>221</v>
      </c>
      <c r="Q1" s="1"/>
      <c r="S1" t="s">
        <v>205</v>
      </c>
      <c r="T1" s="1"/>
      <c r="V1" t="s">
        <v>183</v>
      </c>
      <c r="W1" s="1"/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28</v>
      </c>
      <c r="C3" s="6">
        <v>0.40972222222222221</v>
      </c>
      <c r="D3" t="s">
        <v>24</v>
      </c>
      <c r="E3" t="s">
        <v>28</v>
      </c>
      <c r="F3" s="6">
        <v>0.40972222222222221</v>
      </c>
      <c r="G3" t="s">
        <v>24</v>
      </c>
      <c r="H3" t="s">
        <v>28</v>
      </c>
      <c r="I3" s="6">
        <v>0.40972222222222221</v>
      </c>
      <c r="J3" t="s">
        <v>24</v>
      </c>
      <c r="K3" t="s">
        <v>28</v>
      </c>
      <c r="L3" s="6">
        <v>0.40972222222222221</v>
      </c>
      <c r="M3" t="s">
        <v>24</v>
      </c>
      <c r="N3" t="s">
        <v>28</v>
      </c>
      <c r="O3" s="6">
        <v>0.40277777777777779</v>
      </c>
      <c r="P3" t="s">
        <v>24</v>
      </c>
      <c r="Q3" t="s">
        <v>28</v>
      </c>
      <c r="R3" s="6">
        <v>0.40277777777777779</v>
      </c>
      <c r="S3" t="s">
        <v>24</v>
      </c>
      <c r="T3" t="s">
        <v>28</v>
      </c>
      <c r="U3" s="6">
        <v>0.40277777777777779</v>
      </c>
      <c r="V3" t="s">
        <v>24</v>
      </c>
      <c r="W3" t="s">
        <v>28</v>
      </c>
      <c r="X3" s="6">
        <v>0.40277777777777779</v>
      </c>
    </row>
    <row r="4" spans="1:24" x14ac:dyDescent="0.1">
      <c r="B4" t="s">
        <v>90</v>
      </c>
      <c r="E4" t="s">
        <v>107</v>
      </c>
      <c r="H4" t="s">
        <v>211</v>
      </c>
      <c r="K4" t="s">
        <v>117</v>
      </c>
      <c r="N4" t="s">
        <v>75</v>
      </c>
      <c r="Q4" t="s">
        <v>29</v>
      </c>
      <c r="T4" t="s">
        <v>90</v>
      </c>
      <c r="W4" t="s">
        <v>142</v>
      </c>
    </row>
    <row r="5" spans="1:24" x14ac:dyDescent="0.1">
      <c r="A5" t="s">
        <v>27</v>
      </c>
      <c r="B5" t="s">
        <v>56</v>
      </c>
      <c r="C5" s="6">
        <v>0.43055555555555558</v>
      </c>
      <c r="D5" t="s">
        <v>27</v>
      </c>
      <c r="E5" t="s">
        <v>56</v>
      </c>
      <c r="F5" s="6">
        <v>0.43055555555555558</v>
      </c>
      <c r="G5" t="s">
        <v>27</v>
      </c>
      <c r="H5" t="s">
        <v>56</v>
      </c>
      <c r="I5" s="6">
        <v>0.43055555555555558</v>
      </c>
      <c r="J5" t="s">
        <v>27</v>
      </c>
      <c r="K5" t="s">
        <v>56</v>
      </c>
      <c r="L5" s="6">
        <v>0.43055555555555558</v>
      </c>
      <c r="M5" t="s">
        <v>27</v>
      </c>
      <c r="N5" t="s">
        <v>56</v>
      </c>
      <c r="O5" s="6">
        <v>0.4236111111111111</v>
      </c>
      <c r="P5" t="s">
        <v>27</v>
      </c>
      <c r="Q5" t="s">
        <v>56</v>
      </c>
      <c r="R5" s="6">
        <v>0.4236111111111111</v>
      </c>
      <c r="S5" t="s">
        <v>27</v>
      </c>
      <c r="T5" t="s">
        <v>56</v>
      </c>
      <c r="U5" s="6">
        <v>0.4236111111111111</v>
      </c>
      <c r="V5" t="s">
        <v>27</v>
      </c>
      <c r="W5" t="s">
        <v>25</v>
      </c>
      <c r="X5" s="6">
        <v>0.4236111111111111</v>
      </c>
    </row>
    <row r="6" spans="1:24" x14ac:dyDescent="0.1">
      <c r="B6" t="s">
        <v>122</v>
      </c>
      <c r="E6" t="s">
        <v>117</v>
      </c>
      <c r="H6" t="s">
        <v>90</v>
      </c>
      <c r="K6" t="s">
        <v>89</v>
      </c>
      <c r="N6" t="s">
        <v>122</v>
      </c>
      <c r="Q6" t="s">
        <v>33</v>
      </c>
      <c r="T6" t="s">
        <v>107</v>
      </c>
      <c r="W6" t="s">
        <v>184</v>
      </c>
    </row>
    <row r="7" spans="1:24" x14ac:dyDescent="0.1">
      <c r="A7" t="s">
        <v>30</v>
      </c>
      <c r="B7" t="s">
        <v>56</v>
      </c>
      <c r="C7" s="6">
        <v>0.4513888888888889</v>
      </c>
      <c r="D7" t="s">
        <v>30</v>
      </c>
      <c r="E7" t="s">
        <v>25</v>
      </c>
      <c r="F7" s="6">
        <v>0.4513888888888889</v>
      </c>
      <c r="G7" t="s">
        <v>30</v>
      </c>
      <c r="H7" t="s">
        <v>56</v>
      </c>
      <c r="I7" s="6">
        <v>0.4513888888888889</v>
      </c>
      <c r="J7" t="s">
        <v>30</v>
      </c>
      <c r="K7" t="s">
        <v>56</v>
      </c>
      <c r="L7" s="6">
        <v>0.4513888888888889</v>
      </c>
      <c r="M7" t="s">
        <v>30</v>
      </c>
      <c r="N7" t="s">
        <v>56</v>
      </c>
      <c r="O7" s="6">
        <v>0.44444444444444442</v>
      </c>
      <c r="P7" t="s">
        <v>30</v>
      </c>
      <c r="Q7" t="s">
        <v>25</v>
      </c>
      <c r="R7" s="6">
        <v>0.44444444444444442</v>
      </c>
      <c r="S7" t="s">
        <v>30</v>
      </c>
      <c r="T7" t="s">
        <v>56</v>
      </c>
      <c r="U7" s="6">
        <v>0.44444444444444442</v>
      </c>
      <c r="V7" t="s">
        <v>30</v>
      </c>
      <c r="W7" t="s">
        <v>28</v>
      </c>
      <c r="X7" s="6">
        <v>0.44444444444444442</v>
      </c>
    </row>
    <row r="8" spans="1:24" x14ac:dyDescent="0.1">
      <c r="B8" t="s">
        <v>142</v>
      </c>
      <c r="E8" t="s">
        <v>122</v>
      </c>
      <c r="H8" t="s">
        <v>75</v>
      </c>
      <c r="K8" t="s">
        <v>117</v>
      </c>
      <c r="N8" t="s">
        <v>90</v>
      </c>
      <c r="Q8" t="s">
        <v>222</v>
      </c>
      <c r="T8" t="s">
        <v>90</v>
      </c>
      <c r="W8" t="s">
        <v>122</v>
      </c>
    </row>
    <row r="9" spans="1:24" x14ac:dyDescent="0.1">
      <c r="A9" t="s">
        <v>32</v>
      </c>
      <c r="B9" t="s">
        <v>25</v>
      </c>
      <c r="C9" s="6">
        <v>0.47222222222222221</v>
      </c>
      <c r="D9" t="s">
        <v>32</v>
      </c>
      <c r="E9" t="s">
        <v>25</v>
      </c>
      <c r="F9" s="6">
        <v>0.47222222222222221</v>
      </c>
      <c r="G9" t="s">
        <v>32</v>
      </c>
      <c r="H9" t="s">
        <v>25</v>
      </c>
      <c r="I9" s="6">
        <v>0.47222222222222221</v>
      </c>
      <c r="J9" t="s">
        <v>32</v>
      </c>
      <c r="K9" t="s">
        <v>25</v>
      </c>
      <c r="L9" s="6">
        <v>0.47222222222222221</v>
      </c>
      <c r="M9" t="s">
        <v>32</v>
      </c>
      <c r="N9" t="s">
        <v>25</v>
      </c>
      <c r="O9" s="6">
        <v>0.46527777777777779</v>
      </c>
      <c r="P9" t="s">
        <v>32</v>
      </c>
      <c r="Q9" t="s">
        <v>25</v>
      </c>
      <c r="R9" s="6">
        <v>0.46527777777777779</v>
      </c>
      <c r="S9" t="s">
        <v>32</v>
      </c>
      <c r="T9" t="s">
        <v>25</v>
      </c>
      <c r="U9" s="6">
        <v>0.46527777777777779</v>
      </c>
      <c r="V9" t="s">
        <v>32</v>
      </c>
      <c r="W9" t="s">
        <v>56</v>
      </c>
      <c r="X9" s="6">
        <v>0.46527777777777779</v>
      </c>
    </row>
    <row r="10" spans="1:24" x14ac:dyDescent="0.1">
      <c r="B10" t="s">
        <v>122</v>
      </c>
      <c r="E10" t="s">
        <v>117</v>
      </c>
      <c r="H10" t="s">
        <v>84</v>
      </c>
      <c r="K10" t="s">
        <v>89</v>
      </c>
      <c r="N10" t="s">
        <v>122</v>
      </c>
      <c r="Q10" t="s">
        <v>89</v>
      </c>
      <c r="T10" t="s">
        <v>122</v>
      </c>
      <c r="W10" t="s">
        <v>117</v>
      </c>
    </row>
    <row r="11" spans="1:24" x14ac:dyDescent="0.1">
      <c r="A11" t="s">
        <v>34</v>
      </c>
      <c r="B11" t="s">
        <v>36</v>
      </c>
      <c r="C11" s="6">
        <v>0.49305555555555558</v>
      </c>
      <c r="D11" t="s">
        <v>34</v>
      </c>
      <c r="E11" t="s">
        <v>36</v>
      </c>
      <c r="F11" s="6">
        <v>0.49305555555555558</v>
      </c>
      <c r="G11" t="s">
        <v>34</v>
      </c>
      <c r="H11" t="s">
        <v>25</v>
      </c>
      <c r="I11" s="6">
        <v>0.49305555555555558</v>
      </c>
      <c r="J11" t="s">
        <v>34</v>
      </c>
      <c r="K11" t="s">
        <v>25</v>
      </c>
      <c r="L11" s="6">
        <v>0.49305555555555558</v>
      </c>
      <c r="M11" t="s">
        <v>34</v>
      </c>
      <c r="N11" t="s">
        <v>25</v>
      </c>
      <c r="O11" s="6">
        <v>0.4861111111111111</v>
      </c>
      <c r="P11" t="s">
        <v>34</v>
      </c>
      <c r="Q11" t="s">
        <v>36</v>
      </c>
      <c r="R11" s="6">
        <v>0.4861111111111111</v>
      </c>
      <c r="S11" t="s">
        <v>34</v>
      </c>
      <c r="T11" t="s">
        <v>36</v>
      </c>
      <c r="U11" s="6">
        <v>0.4861111111111111</v>
      </c>
      <c r="V11" t="s">
        <v>34</v>
      </c>
      <c r="W11" t="s">
        <v>36</v>
      </c>
      <c r="X11" s="6">
        <v>0.4861111111111111</v>
      </c>
    </row>
    <row r="12" spans="1:24" x14ac:dyDescent="0.1">
      <c r="B12" t="s">
        <v>185</v>
      </c>
      <c r="E12" t="s">
        <v>85</v>
      </c>
      <c r="H12" t="s">
        <v>122</v>
      </c>
      <c r="K12" t="s">
        <v>90</v>
      </c>
      <c r="N12" t="s">
        <v>89</v>
      </c>
      <c r="Q12" t="s">
        <v>85</v>
      </c>
      <c r="T12" t="s">
        <v>111</v>
      </c>
      <c r="W12" t="s">
        <v>185</v>
      </c>
    </row>
    <row r="13" spans="1:24" x14ac:dyDescent="0.1">
      <c r="A13" t="s">
        <v>35</v>
      </c>
      <c r="B13" t="s">
        <v>794</v>
      </c>
      <c r="C13" s="6">
        <v>0.63194444444444442</v>
      </c>
      <c r="D13" t="s">
        <v>35</v>
      </c>
      <c r="E13" t="s">
        <v>807</v>
      </c>
      <c r="F13" s="6">
        <v>0.63194444444444442</v>
      </c>
      <c r="G13" t="s">
        <v>35</v>
      </c>
      <c r="H13" t="s">
        <v>825</v>
      </c>
      <c r="I13" s="6">
        <v>0.63194444444444442</v>
      </c>
      <c r="J13" t="s">
        <v>35</v>
      </c>
      <c r="K13" t="s">
        <v>839</v>
      </c>
      <c r="L13" s="6">
        <v>0.63194444444444442</v>
      </c>
      <c r="M13" t="s">
        <v>35</v>
      </c>
      <c r="N13" t="s">
        <v>239</v>
      </c>
      <c r="O13" s="6">
        <v>0.625</v>
      </c>
      <c r="P13" t="s">
        <v>35</v>
      </c>
      <c r="Q13" t="s">
        <v>223</v>
      </c>
      <c r="R13" s="6">
        <v>0.625</v>
      </c>
      <c r="S13" t="s">
        <v>35</v>
      </c>
      <c r="T13" t="s">
        <v>206</v>
      </c>
      <c r="U13" s="6">
        <v>0.61805555555555558</v>
      </c>
      <c r="V13" t="s">
        <v>35</v>
      </c>
      <c r="W13" t="s">
        <v>186</v>
      </c>
      <c r="X13" s="6">
        <v>0.61805555555555558</v>
      </c>
    </row>
    <row r="14" spans="1:24" x14ac:dyDescent="0.1">
      <c r="B14" t="s">
        <v>44</v>
      </c>
      <c r="E14" t="s">
        <v>44</v>
      </c>
      <c r="H14" t="s">
        <v>44</v>
      </c>
      <c r="K14" t="s">
        <v>44</v>
      </c>
      <c r="N14" t="s">
        <v>44</v>
      </c>
      <c r="Q14" t="s">
        <v>71</v>
      </c>
      <c r="T14" t="s">
        <v>44</v>
      </c>
      <c r="W14" t="s">
        <v>71</v>
      </c>
    </row>
    <row r="15" spans="1:24" x14ac:dyDescent="0.1">
      <c r="B15" t="s">
        <v>171</v>
      </c>
      <c r="E15" t="s">
        <v>85</v>
      </c>
      <c r="H15" t="s">
        <v>185</v>
      </c>
      <c r="K15" t="s">
        <v>78</v>
      </c>
      <c r="N15" t="s">
        <v>99</v>
      </c>
      <c r="Q15" t="s">
        <v>185</v>
      </c>
      <c r="T15" t="s">
        <v>83</v>
      </c>
      <c r="W15" t="s">
        <v>98</v>
      </c>
    </row>
    <row r="16" spans="1:24" x14ac:dyDescent="0.1">
      <c r="A16" t="s">
        <v>38</v>
      </c>
      <c r="B16" t="s">
        <v>795</v>
      </c>
      <c r="C16" s="6">
        <v>0.65625</v>
      </c>
      <c r="D16" t="s">
        <v>38</v>
      </c>
      <c r="E16" t="s">
        <v>179</v>
      </c>
      <c r="F16" s="6">
        <v>0.65625</v>
      </c>
      <c r="G16" t="s">
        <v>38</v>
      </c>
      <c r="H16" t="s">
        <v>826</v>
      </c>
      <c r="I16" s="6">
        <v>0.65625</v>
      </c>
      <c r="J16" t="s">
        <v>38</v>
      </c>
      <c r="K16" t="s">
        <v>129</v>
      </c>
      <c r="L16" s="6">
        <v>0.65625</v>
      </c>
      <c r="M16" t="s">
        <v>38</v>
      </c>
      <c r="N16" t="s">
        <v>240</v>
      </c>
      <c r="O16" s="6">
        <v>0.64930555555555558</v>
      </c>
      <c r="P16" t="s">
        <v>38</v>
      </c>
      <c r="Q16" t="s">
        <v>224</v>
      </c>
      <c r="R16" s="6">
        <v>0.64930555555555558</v>
      </c>
      <c r="S16" t="s">
        <v>38</v>
      </c>
      <c r="T16" t="s">
        <v>207</v>
      </c>
      <c r="U16" s="6">
        <v>0.64236111111111116</v>
      </c>
      <c r="V16" t="s">
        <v>38</v>
      </c>
      <c r="W16" t="s">
        <v>187</v>
      </c>
      <c r="X16" s="6">
        <v>0.64236111111111116</v>
      </c>
    </row>
    <row r="17" spans="1:24" x14ac:dyDescent="0.1">
      <c r="B17" t="s">
        <v>71</v>
      </c>
      <c r="E17" t="s">
        <v>808</v>
      </c>
      <c r="H17" t="s">
        <v>71</v>
      </c>
      <c r="K17" t="s">
        <v>840</v>
      </c>
      <c r="N17" t="s">
        <v>51</v>
      </c>
      <c r="Q17" t="s">
        <v>225</v>
      </c>
      <c r="T17" t="s">
        <v>71</v>
      </c>
      <c r="W17" t="s">
        <v>51</v>
      </c>
    </row>
    <row r="18" spans="1:24" x14ac:dyDescent="0.1">
      <c r="B18" t="s">
        <v>111</v>
      </c>
      <c r="E18" t="s">
        <v>51</v>
      </c>
      <c r="H18" t="s">
        <v>138</v>
      </c>
      <c r="K18" t="s">
        <v>51</v>
      </c>
      <c r="N18" t="s">
        <v>241</v>
      </c>
      <c r="Q18" t="s">
        <v>89</v>
      </c>
      <c r="T18" t="s">
        <v>85</v>
      </c>
      <c r="W18" t="s">
        <v>188</v>
      </c>
    </row>
    <row r="19" spans="1:24" x14ac:dyDescent="0.1">
      <c r="A19" t="s">
        <v>40</v>
      </c>
      <c r="B19" t="s">
        <v>796</v>
      </c>
      <c r="C19" s="6">
        <v>0.68055555555555558</v>
      </c>
      <c r="E19" t="s">
        <v>167</v>
      </c>
      <c r="G19" t="s">
        <v>40</v>
      </c>
      <c r="H19" t="s">
        <v>827</v>
      </c>
      <c r="I19" s="6">
        <v>0.68055555555555558</v>
      </c>
      <c r="K19" t="s">
        <v>841</v>
      </c>
      <c r="M19" t="s">
        <v>40</v>
      </c>
      <c r="N19" t="s">
        <v>242</v>
      </c>
      <c r="O19" s="6">
        <v>0.67361111111111116</v>
      </c>
      <c r="P19" t="s">
        <v>40</v>
      </c>
      <c r="Q19" t="s">
        <v>226</v>
      </c>
      <c r="R19" s="6">
        <v>0.67361111111111116</v>
      </c>
      <c r="S19" t="s">
        <v>40</v>
      </c>
      <c r="T19" t="s">
        <v>208</v>
      </c>
      <c r="U19" s="6">
        <v>0.67013888888888884</v>
      </c>
      <c r="V19" t="s">
        <v>40</v>
      </c>
      <c r="W19" t="s">
        <v>189</v>
      </c>
      <c r="X19" s="6">
        <v>0.67013888888888884</v>
      </c>
    </row>
    <row r="20" spans="1:24" x14ac:dyDescent="0.1">
      <c r="B20" t="s">
        <v>36</v>
      </c>
      <c r="D20" t="s">
        <v>40</v>
      </c>
      <c r="E20" t="s">
        <v>809</v>
      </c>
      <c r="F20" s="6">
        <v>0.68055555555555558</v>
      </c>
      <c r="H20" t="s">
        <v>36</v>
      </c>
      <c r="J20" t="s">
        <v>40</v>
      </c>
      <c r="K20" t="s">
        <v>842</v>
      </c>
      <c r="L20" s="6">
        <v>0.68055555555555558</v>
      </c>
      <c r="N20" t="s">
        <v>64</v>
      </c>
      <c r="Q20" t="s">
        <v>44</v>
      </c>
      <c r="T20" t="s">
        <v>36</v>
      </c>
      <c r="W20" t="s">
        <v>44</v>
      </c>
    </row>
    <row r="21" spans="1:24" x14ac:dyDescent="0.1">
      <c r="B21" t="s">
        <v>78</v>
      </c>
      <c r="E21" t="s">
        <v>44</v>
      </c>
      <c r="H21" t="s">
        <v>83</v>
      </c>
      <c r="K21" t="s">
        <v>36</v>
      </c>
      <c r="N21" t="s">
        <v>169</v>
      </c>
      <c r="Q21" t="s">
        <v>98</v>
      </c>
      <c r="T21" t="s">
        <v>78</v>
      </c>
      <c r="W21" t="s">
        <v>78</v>
      </c>
    </row>
    <row r="22" spans="1:24" x14ac:dyDescent="0.1">
      <c r="A22" t="s">
        <v>42</v>
      </c>
      <c r="B22" t="s">
        <v>163</v>
      </c>
      <c r="C22" s="6">
        <v>0.70486111111111116</v>
      </c>
      <c r="E22" t="s">
        <v>113</v>
      </c>
      <c r="G22" t="s">
        <v>42</v>
      </c>
      <c r="H22" t="s">
        <v>36</v>
      </c>
      <c r="I22" s="6">
        <v>0.70486111111111116</v>
      </c>
      <c r="K22" t="s">
        <v>99</v>
      </c>
      <c r="M22" t="s">
        <v>42</v>
      </c>
      <c r="N22" t="s">
        <v>36</v>
      </c>
      <c r="O22" s="6">
        <v>0.69791666666666663</v>
      </c>
      <c r="P22" t="s">
        <v>42</v>
      </c>
      <c r="Q22" t="s">
        <v>44</v>
      </c>
      <c r="R22" s="6">
        <v>0.69791666666666663</v>
      </c>
      <c r="S22" t="s">
        <v>42</v>
      </c>
      <c r="T22" t="s">
        <v>209</v>
      </c>
      <c r="U22" s="6">
        <v>0.69444444444444442</v>
      </c>
      <c r="V22" t="s">
        <v>42</v>
      </c>
      <c r="W22" t="s">
        <v>87</v>
      </c>
      <c r="X22" s="6">
        <v>0.69444444444444442</v>
      </c>
    </row>
    <row r="23" spans="1:24" x14ac:dyDescent="0.1">
      <c r="B23" t="s">
        <v>797</v>
      </c>
      <c r="D23" t="s">
        <v>42</v>
      </c>
      <c r="E23" t="s">
        <v>87</v>
      </c>
      <c r="F23" s="6">
        <v>0.70486111111111116</v>
      </c>
      <c r="H23" t="s">
        <v>85</v>
      </c>
      <c r="J23" t="s">
        <v>42</v>
      </c>
      <c r="K23" t="s">
        <v>36</v>
      </c>
      <c r="L23" s="6">
        <v>0.70486111111111116</v>
      </c>
      <c r="N23" t="s">
        <v>113</v>
      </c>
      <c r="Q23" t="s">
        <v>85</v>
      </c>
      <c r="T23" t="s">
        <v>163</v>
      </c>
      <c r="W23" t="s">
        <v>88</v>
      </c>
    </row>
    <row r="24" spans="1:24" x14ac:dyDescent="0.1">
      <c r="A24" t="s">
        <v>46</v>
      </c>
      <c r="B24" t="s">
        <v>25</v>
      </c>
      <c r="C24" s="6">
        <v>0.72916666666666663</v>
      </c>
      <c r="E24" t="s">
        <v>88</v>
      </c>
      <c r="G24" t="s">
        <v>46</v>
      </c>
      <c r="H24" t="s">
        <v>25</v>
      </c>
      <c r="I24" s="6">
        <v>0.72916666666666663</v>
      </c>
      <c r="K24" t="s">
        <v>78</v>
      </c>
      <c r="M24" t="s">
        <v>46</v>
      </c>
      <c r="N24" t="s">
        <v>36</v>
      </c>
      <c r="O24" s="6">
        <v>0.72222222222222221</v>
      </c>
      <c r="P24" t="s">
        <v>46</v>
      </c>
      <c r="Q24" t="s">
        <v>36</v>
      </c>
      <c r="R24" s="6">
        <v>0.72222222222222221</v>
      </c>
      <c r="T24" t="s">
        <v>210</v>
      </c>
      <c r="V24" t="s">
        <v>46</v>
      </c>
      <c r="W24" t="s">
        <v>25</v>
      </c>
      <c r="X24" s="6">
        <v>0.71875</v>
      </c>
    </row>
    <row r="25" spans="1:24" x14ac:dyDescent="0.1">
      <c r="B25" t="s">
        <v>84</v>
      </c>
      <c r="D25" t="s">
        <v>46</v>
      </c>
      <c r="E25" t="s">
        <v>25</v>
      </c>
      <c r="F25" s="6">
        <v>0.72916666666666663</v>
      </c>
      <c r="H25" t="s">
        <v>89</v>
      </c>
      <c r="J25" t="s">
        <v>46</v>
      </c>
      <c r="K25" t="s">
        <v>36</v>
      </c>
      <c r="L25" s="6">
        <v>0.72916666666666663</v>
      </c>
      <c r="N25" t="s">
        <v>171</v>
      </c>
      <c r="Q25" t="s">
        <v>147</v>
      </c>
      <c r="S25" t="s">
        <v>46</v>
      </c>
      <c r="T25" t="s">
        <v>25</v>
      </c>
      <c r="U25" s="6">
        <v>0.71875</v>
      </c>
      <c r="W25" t="s">
        <v>84</v>
      </c>
    </row>
    <row r="26" spans="1:24" x14ac:dyDescent="0.1">
      <c r="A26" t="s">
        <v>49</v>
      </c>
      <c r="B26" t="s">
        <v>25</v>
      </c>
      <c r="C26" s="6">
        <v>0.75</v>
      </c>
      <c r="E26" t="s">
        <v>89</v>
      </c>
      <c r="G26" t="s">
        <v>49</v>
      </c>
      <c r="H26" t="s">
        <v>25</v>
      </c>
      <c r="I26" s="6">
        <v>0.75</v>
      </c>
      <c r="K26" t="s">
        <v>255</v>
      </c>
      <c r="M26" t="s">
        <v>49</v>
      </c>
      <c r="N26" t="s">
        <v>36</v>
      </c>
      <c r="O26" s="6">
        <v>0.74305555555555558</v>
      </c>
      <c r="P26" t="s">
        <v>49</v>
      </c>
      <c r="Q26" t="s">
        <v>25</v>
      </c>
      <c r="R26" s="6">
        <v>0.74305555555555558</v>
      </c>
      <c r="T26" t="s">
        <v>89</v>
      </c>
      <c r="V26" t="s">
        <v>49</v>
      </c>
      <c r="W26" t="s">
        <v>36</v>
      </c>
      <c r="X26" s="6">
        <v>0.73958333333333337</v>
      </c>
    </row>
    <row r="27" spans="1:24" x14ac:dyDescent="0.1">
      <c r="B27" t="s">
        <v>211</v>
      </c>
      <c r="D27" t="s">
        <v>49</v>
      </c>
      <c r="E27" t="s">
        <v>36</v>
      </c>
      <c r="F27" s="6">
        <v>0.75</v>
      </c>
      <c r="H27" t="s">
        <v>228</v>
      </c>
      <c r="J27" t="s">
        <v>49</v>
      </c>
      <c r="K27" t="s">
        <v>25</v>
      </c>
      <c r="L27" s="6">
        <v>0.75</v>
      </c>
      <c r="N27" t="s">
        <v>98</v>
      </c>
      <c r="Q27" t="s">
        <v>142</v>
      </c>
      <c r="S27" t="s">
        <v>49</v>
      </c>
      <c r="T27" t="s">
        <v>25</v>
      </c>
      <c r="U27" s="6">
        <v>0.73958333333333337</v>
      </c>
      <c r="W27" t="s">
        <v>190</v>
      </c>
    </row>
    <row r="28" spans="1:24" x14ac:dyDescent="0.1">
      <c r="A28" t="s">
        <v>53</v>
      </c>
      <c r="B28" t="s">
        <v>36</v>
      </c>
      <c r="C28" s="6">
        <v>0.77083333333333337</v>
      </c>
      <c r="E28" t="s">
        <v>98</v>
      </c>
      <c r="G28" t="s">
        <v>53</v>
      </c>
      <c r="H28" t="s">
        <v>36</v>
      </c>
      <c r="I28" s="6">
        <v>0.77083333333333337</v>
      </c>
      <c r="K28" t="s">
        <v>108</v>
      </c>
      <c r="M28" t="s">
        <v>53</v>
      </c>
      <c r="N28" t="s">
        <v>25</v>
      </c>
      <c r="O28" s="6">
        <v>0.76388888888888884</v>
      </c>
      <c r="P28" t="s">
        <v>53</v>
      </c>
      <c r="Q28" t="s">
        <v>25</v>
      </c>
      <c r="R28" s="6">
        <v>0.76388888888888884</v>
      </c>
      <c r="T28" t="s">
        <v>211</v>
      </c>
      <c r="V28" t="s">
        <v>53</v>
      </c>
      <c r="W28" t="s">
        <v>25</v>
      </c>
      <c r="X28" s="6">
        <v>0.76388888888888884</v>
      </c>
    </row>
    <row r="29" spans="1:24" x14ac:dyDescent="0.1">
      <c r="B29" t="s">
        <v>330</v>
      </c>
      <c r="D29" t="s">
        <v>53</v>
      </c>
      <c r="E29" t="s">
        <v>25</v>
      </c>
      <c r="F29" s="6">
        <v>0.77083333333333337</v>
      </c>
      <c r="H29" t="s">
        <v>39</v>
      </c>
      <c r="J29" t="s">
        <v>53</v>
      </c>
      <c r="K29" t="s">
        <v>25</v>
      </c>
      <c r="L29" s="6">
        <v>0.77083333333333337</v>
      </c>
      <c r="N29" t="s">
        <v>29</v>
      </c>
      <c r="Q29" t="s">
        <v>33</v>
      </c>
      <c r="S29" t="s">
        <v>53</v>
      </c>
      <c r="T29" t="s">
        <v>25</v>
      </c>
      <c r="U29" s="6">
        <v>0.76388888888888884</v>
      </c>
      <c r="W29" t="s">
        <v>89</v>
      </c>
    </row>
    <row r="30" spans="1:24" x14ac:dyDescent="0.1">
      <c r="E30" t="s">
        <v>29</v>
      </c>
      <c r="K30" t="s">
        <v>75</v>
      </c>
      <c r="T30" t="s">
        <v>29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42828-05C4-4234-869A-70EC00DE2632}">
  <sheetPr codeName="Sheet24"/>
  <dimension ref="A1:X30"/>
  <sheetViews>
    <sheetView workbookViewId="0"/>
  </sheetViews>
  <sheetFormatPr defaultRowHeight="13.5" x14ac:dyDescent="0.1"/>
  <cols>
    <col min="1" max="1" width="11.1796875" bestFit="1" customWidth="1"/>
    <col min="2" max="2" width="18.1328125" bestFit="1" customWidth="1"/>
    <col min="3" max="3" width="9.26953125" bestFit="1" customWidth="1"/>
    <col min="4" max="4" width="11.1796875" bestFit="1" customWidth="1"/>
    <col min="5" max="5" width="27.54296875" bestFit="1" customWidth="1"/>
    <col min="6" max="6" width="9.26953125" bestFit="1" customWidth="1"/>
    <col min="7" max="7" width="11.1796875" bestFit="1" customWidth="1"/>
    <col min="8" max="8" width="18.81640625" bestFit="1" customWidth="1"/>
    <col min="9" max="9" width="9.26953125" bestFit="1" customWidth="1"/>
    <col min="10" max="10" width="11.1796875" bestFit="1" customWidth="1"/>
    <col min="11" max="11" width="18.81640625" bestFit="1" customWidth="1"/>
    <col min="12" max="12" width="9.26953125" bestFit="1" customWidth="1"/>
    <col min="13" max="13" width="11.1796875" bestFit="1" customWidth="1"/>
    <col min="14" max="14" width="20.1796875" bestFit="1" customWidth="1"/>
    <col min="15" max="15" width="9.26953125" bestFit="1" customWidth="1"/>
    <col min="16" max="16" width="11.1796875" bestFit="1" customWidth="1"/>
    <col min="17" max="17" width="23.04296875" bestFit="1" customWidth="1"/>
    <col min="18" max="18" width="9.26953125" bestFit="1" customWidth="1"/>
    <col min="19" max="19" width="11.1796875" bestFit="1" customWidth="1"/>
    <col min="20" max="20" width="16.76953125" bestFit="1" customWidth="1"/>
    <col min="21" max="21" width="9.26953125" bestFit="1" customWidth="1"/>
    <col min="22" max="22" width="11.1796875" bestFit="1" customWidth="1"/>
    <col min="23" max="23" width="22.2265625" bestFit="1" customWidth="1"/>
    <col min="24" max="24" width="9.26953125" bestFit="1" customWidth="1"/>
  </cols>
  <sheetData>
    <row r="1" spans="1:24" x14ac:dyDescent="0.1">
      <c r="A1" t="s">
        <v>798</v>
      </c>
      <c r="D1" t="s">
        <v>810</v>
      </c>
      <c r="G1" t="s">
        <v>828</v>
      </c>
      <c r="J1" t="s">
        <v>843</v>
      </c>
      <c r="M1" t="s">
        <v>233</v>
      </c>
      <c r="N1" s="1"/>
      <c r="P1" t="s">
        <v>216</v>
      </c>
      <c r="Q1" s="1"/>
      <c r="S1" t="s">
        <v>200</v>
      </c>
      <c r="T1" s="1"/>
      <c r="V1" t="s">
        <v>177</v>
      </c>
      <c r="W1" s="1"/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28</v>
      </c>
      <c r="C3" s="6">
        <v>0.40277777777777779</v>
      </c>
      <c r="D3" t="s">
        <v>24</v>
      </c>
      <c r="E3" t="s">
        <v>28</v>
      </c>
      <c r="F3" s="6">
        <v>0.40277777777777779</v>
      </c>
      <c r="G3" t="s">
        <v>24</v>
      </c>
      <c r="H3" t="s">
        <v>28</v>
      </c>
      <c r="I3" s="6">
        <v>0.40277777777777779</v>
      </c>
      <c r="J3" t="s">
        <v>24</v>
      </c>
      <c r="K3" t="s">
        <v>25</v>
      </c>
      <c r="L3" s="6">
        <v>0.40277777777777779</v>
      </c>
      <c r="M3" t="s">
        <v>24</v>
      </c>
      <c r="N3" t="s">
        <v>28</v>
      </c>
      <c r="O3" s="6">
        <v>0.40972222222222221</v>
      </c>
      <c r="P3" t="s">
        <v>24</v>
      </c>
      <c r="Q3" t="s">
        <v>25</v>
      </c>
      <c r="R3" s="6">
        <v>0.40972222222222221</v>
      </c>
      <c r="S3" t="s">
        <v>24</v>
      </c>
      <c r="T3" t="s">
        <v>28</v>
      </c>
      <c r="U3" s="6">
        <v>0.40972222222222221</v>
      </c>
      <c r="V3" t="s">
        <v>24</v>
      </c>
      <c r="W3" t="s">
        <v>28</v>
      </c>
      <c r="X3" s="6">
        <v>0.40972222222222221</v>
      </c>
    </row>
    <row r="4" spans="1:24" x14ac:dyDescent="0.1">
      <c r="B4" t="s">
        <v>122</v>
      </c>
      <c r="E4" t="s">
        <v>75</v>
      </c>
      <c r="H4" t="s">
        <v>29</v>
      </c>
      <c r="K4" t="s">
        <v>228</v>
      </c>
      <c r="N4" t="s">
        <v>76</v>
      </c>
      <c r="Q4" t="s">
        <v>29</v>
      </c>
      <c r="T4" t="s">
        <v>77</v>
      </c>
      <c r="W4" t="s">
        <v>33</v>
      </c>
    </row>
    <row r="5" spans="1:24" x14ac:dyDescent="0.1">
      <c r="A5" t="s">
        <v>27</v>
      </c>
      <c r="B5" t="s">
        <v>56</v>
      </c>
      <c r="C5" s="6">
        <v>0.4236111111111111</v>
      </c>
      <c r="D5" t="s">
        <v>27</v>
      </c>
      <c r="E5" t="s">
        <v>56</v>
      </c>
      <c r="F5" s="6">
        <v>0.4236111111111111</v>
      </c>
      <c r="G5" t="s">
        <v>27</v>
      </c>
      <c r="H5" t="s">
        <v>56</v>
      </c>
      <c r="I5" s="6">
        <v>0.4236111111111111</v>
      </c>
      <c r="J5" t="s">
        <v>27</v>
      </c>
      <c r="K5" t="s">
        <v>56</v>
      </c>
      <c r="L5" s="6">
        <v>0.4236111111111111</v>
      </c>
      <c r="M5" t="s">
        <v>27</v>
      </c>
      <c r="N5" t="s">
        <v>56</v>
      </c>
      <c r="O5" s="6">
        <v>0.43055555555555558</v>
      </c>
      <c r="P5" t="s">
        <v>27</v>
      </c>
      <c r="Q5" t="s">
        <v>56</v>
      </c>
      <c r="R5" s="6">
        <v>0.43055555555555558</v>
      </c>
      <c r="S5" t="s">
        <v>27</v>
      </c>
      <c r="T5" t="s">
        <v>28</v>
      </c>
      <c r="U5" s="6">
        <v>0.43055555555555558</v>
      </c>
      <c r="V5" t="s">
        <v>27</v>
      </c>
      <c r="W5" t="s">
        <v>56</v>
      </c>
      <c r="X5" s="6">
        <v>0.43055555555555558</v>
      </c>
    </row>
    <row r="6" spans="1:24" x14ac:dyDescent="0.1">
      <c r="B6" t="s">
        <v>75</v>
      </c>
      <c r="E6" t="s">
        <v>29</v>
      </c>
      <c r="H6" t="s">
        <v>107</v>
      </c>
      <c r="K6" t="s">
        <v>89</v>
      </c>
      <c r="N6" t="s">
        <v>75</v>
      </c>
      <c r="Q6" t="s">
        <v>217</v>
      </c>
      <c r="T6" t="s">
        <v>29</v>
      </c>
      <c r="W6" t="s">
        <v>77</v>
      </c>
    </row>
    <row r="7" spans="1:24" x14ac:dyDescent="0.1">
      <c r="A7" t="s">
        <v>30</v>
      </c>
      <c r="B7" t="s">
        <v>25</v>
      </c>
      <c r="C7" s="6">
        <v>0.44444444444444442</v>
      </c>
      <c r="D7" t="s">
        <v>30</v>
      </c>
      <c r="E7" t="s">
        <v>25</v>
      </c>
      <c r="F7" s="6">
        <v>0.44444444444444442</v>
      </c>
      <c r="G7" t="s">
        <v>30</v>
      </c>
      <c r="H7" t="s">
        <v>25</v>
      </c>
      <c r="I7" s="6">
        <v>0.44444444444444442</v>
      </c>
      <c r="J7" t="s">
        <v>30</v>
      </c>
      <c r="K7" t="s">
        <v>56</v>
      </c>
      <c r="L7" s="6">
        <v>0.44444444444444442</v>
      </c>
      <c r="M7" t="s">
        <v>30</v>
      </c>
      <c r="N7" t="s">
        <v>25</v>
      </c>
      <c r="O7" s="6">
        <v>0.4513888888888889</v>
      </c>
      <c r="P7" t="s">
        <v>30</v>
      </c>
      <c r="Q7" t="s">
        <v>56</v>
      </c>
      <c r="R7" s="6">
        <v>0.4513888888888889</v>
      </c>
      <c r="S7" t="s">
        <v>30</v>
      </c>
      <c r="T7" t="s">
        <v>56</v>
      </c>
      <c r="U7" s="6">
        <v>0.4513888888888889</v>
      </c>
      <c r="V7" t="s">
        <v>30</v>
      </c>
      <c r="W7" t="s">
        <v>56</v>
      </c>
      <c r="X7" s="6">
        <v>0.4513888888888889</v>
      </c>
    </row>
    <row r="8" spans="1:24" x14ac:dyDescent="0.1">
      <c r="B8" t="s">
        <v>29</v>
      </c>
      <c r="E8" t="s">
        <v>108</v>
      </c>
      <c r="H8" t="s">
        <v>29</v>
      </c>
      <c r="K8" t="s">
        <v>76</v>
      </c>
      <c r="N8" t="s">
        <v>158</v>
      </c>
      <c r="Q8" t="s">
        <v>29</v>
      </c>
      <c r="T8" t="s">
        <v>33</v>
      </c>
      <c r="W8" t="s">
        <v>76</v>
      </c>
    </row>
    <row r="9" spans="1:24" x14ac:dyDescent="0.1">
      <c r="A9" t="s">
        <v>32</v>
      </c>
      <c r="B9" t="s">
        <v>25</v>
      </c>
      <c r="C9" s="6">
        <v>0.46527777777777779</v>
      </c>
      <c r="D9" t="s">
        <v>32</v>
      </c>
      <c r="E9" t="s">
        <v>25</v>
      </c>
      <c r="F9" s="6">
        <v>0.46527777777777779</v>
      </c>
      <c r="G9" t="s">
        <v>32</v>
      </c>
      <c r="H9" t="s">
        <v>25</v>
      </c>
      <c r="I9" s="6">
        <v>0.46527777777777779</v>
      </c>
      <c r="J9" t="s">
        <v>32</v>
      </c>
      <c r="K9" t="s">
        <v>25</v>
      </c>
      <c r="L9" s="6">
        <v>0.46527777777777779</v>
      </c>
      <c r="M9" t="s">
        <v>32</v>
      </c>
      <c r="N9" t="s">
        <v>25</v>
      </c>
      <c r="O9" s="6">
        <v>0.47222222222222221</v>
      </c>
      <c r="P9" t="s">
        <v>32</v>
      </c>
      <c r="Q9" t="s">
        <v>25</v>
      </c>
      <c r="R9" s="6">
        <v>0.47222222222222221</v>
      </c>
      <c r="S9" t="s">
        <v>32</v>
      </c>
      <c r="T9" t="s">
        <v>25</v>
      </c>
      <c r="U9" s="6">
        <v>0.47222222222222221</v>
      </c>
      <c r="V9" t="s">
        <v>32</v>
      </c>
      <c r="W9" t="s">
        <v>25</v>
      </c>
      <c r="X9" s="6">
        <v>0.47222222222222221</v>
      </c>
    </row>
    <row r="10" spans="1:24" x14ac:dyDescent="0.1">
      <c r="B10" t="s">
        <v>89</v>
      </c>
      <c r="E10" t="s">
        <v>89</v>
      </c>
      <c r="H10" t="s">
        <v>84</v>
      </c>
      <c r="K10" t="s">
        <v>122</v>
      </c>
      <c r="N10" t="s">
        <v>134</v>
      </c>
      <c r="Q10" t="s">
        <v>89</v>
      </c>
      <c r="T10" t="s">
        <v>75</v>
      </c>
      <c r="W10" t="s">
        <v>29</v>
      </c>
    </row>
    <row r="11" spans="1:24" x14ac:dyDescent="0.1">
      <c r="A11" t="s">
        <v>34</v>
      </c>
      <c r="B11" t="s">
        <v>25</v>
      </c>
      <c r="C11" s="6">
        <v>0.4861111111111111</v>
      </c>
      <c r="D11" t="s">
        <v>34</v>
      </c>
      <c r="E11" t="s">
        <v>25</v>
      </c>
      <c r="F11" s="6">
        <v>0.4861111111111111</v>
      </c>
      <c r="G11" t="s">
        <v>34</v>
      </c>
      <c r="H11" t="s">
        <v>25</v>
      </c>
      <c r="I11" s="6">
        <v>0.4861111111111111</v>
      </c>
      <c r="J11" t="s">
        <v>34</v>
      </c>
      <c r="K11" t="s">
        <v>36</v>
      </c>
      <c r="L11" s="6">
        <v>0.4861111111111111</v>
      </c>
      <c r="M11" t="s">
        <v>34</v>
      </c>
      <c r="N11" t="s">
        <v>36</v>
      </c>
      <c r="O11" s="6">
        <v>0.49305555555555558</v>
      </c>
      <c r="P11" t="s">
        <v>34</v>
      </c>
      <c r="Q11" t="s">
        <v>36</v>
      </c>
      <c r="R11" s="6">
        <v>0.49305555555555558</v>
      </c>
      <c r="S11" t="s">
        <v>34</v>
      </c>
      <c r="T11" t="s">
        <v>25</v>
      </c>
      <c r="U11" s="6">
        <v>0.49305555555555558</v>
      </c>
      <c r="V11" t="s">
        <v>34</v>
      </c>
      <c r="W11" t="s">
        <v>25</v>
      </c>
      <c r="X11" s="6">
        <v>0.49305555555555558</v>
      </c>
    </row>
    <row r="12" spans="1:24" x14ac:dyDescent="0.1">
      <c r="B12" t="s">
        <v>217</v>
      </c>
      <c r="E12" t="s">
        <v>77</v>
      </c>
      <c r="H12" t="s">
        <v>89</v>
      </c>
      <c r="K12" t="s">
        <v>113</v>
      </c>
      <c r="N12" t="s">
        <v>60</v>
      </c>
      <c r="Q12" t="s">
        <v>114</v>
      </c>
      <c r="T12" t="s">
        <v>84</v>
      </c>
      <c r="W12" t="s">
        <v>77</v>
      </c>
    </row>
    <row r="13" spans="1:24" x14ac:dyDescent="0.1">
      <c r="A13" t="s">
        <v>35</v>
      </c>
      <c r="B13" t="s">
        <v>799</v>
      </c>
      <c r="C13" s="6">
        <v>0.625</v>
      </c>
      <c r="D13" t="s">
        <v>35</v>
      </c>
      <c r="E13" t="s">
        <v>811</v>
      </c>
      <c r="F13" s="6">
        <v>0.625</v>
      </c>
      <c r="G13" t="s">
        <v>35</v>
      </c>
      <c r="H13" t="s">
        <v>829</v>
      </c>
      <c r="I13" s="6">
        <v>0.625</v>
      </c>
      <c r="J13" t="s">
        <v>35</v>
      </c>
      <c r="K13" t="s">
        <v>844</v>
      </c>
      <c r="L13" s="6">
        <v>0.625</v>
      </c>
      <c r="M13" t="s">
        <v>35</v>
      </c>
      <c r="N13" t="s">
        <v>234</v>
      </c>
      <c r="O13" s="6">
        <v>0.63194444444444442</v>
      </c>
      <c r="P13" t="s">
        <v>35</v>
      </c>
      <c r="Q13" t="s">
        <v>218</v>
      </c>
      <c r="R13" s="6">
        <v>0.63194444444444442</v>
      </c>
      <c r="S13" t="s">
        <v>35</v>
      </c>
      <c r="T13" t="s">
        <v>201</v>
      </c>
      <c r="U13" s="6">
        <v>0.63194444444444442</v>
      </c>
      <c r="V13" t="s">
        <v>35</v>
      </c>
      <c r="W13" t="s">
        <v>178</v>
      </c>
      <c r="X13" s="6">
        <v>0.625</v>
      </c>
    </row>
    <row r="14" spans="1:24" x14ac:dyDescent="0.1">
      <c r="B14" t="s">
        <v>44</v>
      </c>
      <c r="E14" t="s">
        <v>44</v>
      </c>
      <c r="H14" t="s">
        <v>71</v>
      </c>
      <c r="K14" t="s">
        <v>44</v>
      </c>
      <c r="N14" t="s">
        <v>44</v>
      </c>
      <c r="Q14" t="s">
        <v>44</v>
      </c>
      <c r="T14" t="s">
        <v>44</v>
      </c>
      <c r="W14" t="s">
        <v>44</v>
      </c>
    </row>
    <row r="15" spans="1:24" x14ac:dyDescent="0.1">
      <c r="B15" t="s">
        <v>114</v>
      </c>
      <c r="E15" t="s">
        <v>203</v>
      </c>
      <c r="H15" t="s">
        <v>114</v>
      </c>
      <c r="K15" t="s">
        <v>111</v>
      </c>
      <c r="N15" t="s">
        <v>115</v>
      </c>
      <c r="Q15" t="s">
        <v>60</v>
      </c>
      <c r="T15" t="s">
        <v>39</v>
      </c>
      <c r="W15" t="s">
        <v>135</v>
      </c>
    </row>
    <row r="16" spans="1:24" x14ac:dyDescent="0.1">
      <c r="A16" t="s">
        <v>38</v>
      </c>
      <c r="B16" t="s">
        <v>800</v>
      </c>
      <c r="C16" s="6">
        <v>0.64930555555555558</v>
      </c>
      <c r="D16" t="s">
        <v>38</v>
      </c>
      <c r="E16" t="s">
        <v>812</v>
      </c>
      <c r="F16" s="6">
        <v>0.64930555555555558</v>
      </c>
      <c r="G16" t="s">
        <v>38</v>
      </c>
      <c r="H16" t="s">
        <v>830</v>
      </c>
      <c r="I16" s="6">
        <v>0.64930555555555558</v>
      </c>
      <c r="J16" t="s">
        <v>38</v>
      </c>
      <c r="K16" t="s">
        <v>845</v>
      </c>
      <c r="L16" s="6">
        <v>0.64930555555555558</v>
      </c>
      <c r="M16" t="s">
        <v>38</v>
      </c>
      <c r="N16" t="s">
        <v>235</v>
      </c>
      <c r="O16" s="6">
        <v>0.65625</v>
      </c>
      <c r="P16" s="42" t="s">
        <v>38</v>
      </c>
      <c r="Q16" s="42" t="s">
        <v>129</v>
      </c>
      <c r="R16" s="43">
        <v>0.65625</v>
      </c>
      <c r="S16" t="s">
        <v>38</v>
      </c>
      <c r="T16" t="s">
        <v>202</v>
      </c>
      <c r="U16" s="6">
        <v>0.65625</v>
      </c>
      <c r="V16" s="42" t="s">
        <v>38</v>
      </c>
      <c r="W16" s="42" t="s">
        <v>179</v>
      </c>
      <c r="X16" s="43">
        <v>0.64930555555555558</v>
      </c>
    </row>
    <row r="17" spans="1:24" x14ac:dyDescent="0.1">
      <c r="B17" t="s">
        <v>71</v>
      </c>
      <c r="E17" t="s">
        <v>51</v>
      </c>
      <c r="H17" t="s">
        <v>71</v>
      </c>
      <c r="K17" t="s">
        <v>51</v>
      </c>
      <c r="N17" t="s">
        <v>71</v>
      </c>
      <c r="P17" s="42"/>
      <c r="Q17" s="42" t="s">
        <v>219</v>
      </c>
      <c r="R17" s="42"/>
      <c r="T17" t="s">
        <v>71</v>
      </c>
      <c r="V17" s="42"/>
      <c r="W17" s="42" t="s">
        <v>180</v>
      </c>
      <c r="X17" s="42"/>
    </row>
    <row r="18" spans="1:24" x14ac:dyDescent="0.1">
      <c r="B18" t="s">
        <v>83</v>
      </c>
      <c r="E18" t="s">
        <v>366</v>
      </c>
      <c r="H18" t="s">
        <v>831</v>
      </c>
      <c r="K18" t="s">
        <v>312</v>
      </c>
      <c r="N18" t="s">
        <v>78</v>
      </c>
      <c r="P18" s="42"/>
      <c r="Q18" s="42" t="s">
        <v>51</v>
      </c>
      <c r="R18" s="42"/>
      <c r="T18" t="s">
        <v>203</v>
      </c>
      <c r="V18" s="42"/>
      <c r="W18" s="42" t="s">
        <v>51</v>
      </c>
      <c r="X18" s="42"/>
    </row>
    <row r="19" spans="1:24" x14ac:dyDescent="0.1">
      <c r="A19" t="s">
        <v>40</v>
      </c>
      <c r="B19" t="s">
        <v>801</v>
      </c>
      <c r="C19" s="6">
        <v>0.67361111111111116</v>
      </c>
      <c r="D19" t="s">
        <v>40</v>
      </c>
      <c r="E19" t="s">
        <v>813</v>
      </c>
      <c r="F19" s="6">
        <v>0.67361111111111116</v>
      </c>
      <c r="G19" t="s">
        <v>40</v>
      </c>
      <c r="H19" t="s">
        <v>832</v>
      </c>
      <c r="I19" s="6">
        <v>0.67361111111111116</v>
      </c>
      <c r="J19" t="s">
        <v>40</v>
      </c>
      <c r="K19" t="s">
        <v>846</v>
      </c>
      <c r="L19" s="6">
        <v>0.67361111111111116</v>
      </c>
      <c r="M19" t="s">
        <v>40</v>
      </c>
      <c r="N19" t="s">
        <v>236</v>
      </c>
      <c r="O19" s="6">
        <v>0.68055555555555558</v>
      </c>
      <c r="P19" s="42"/>
      <c r="Q19" s="42" t="s">
        <v>69</v>
      </c>
      <c r="R19" s="42"/>
      <c r="S19" t="s">
        <v>40</v>
      </c>
      <c r="T19" t="s">
        <v>204</v>
      </c>
      <c r="U19" s="6">
        <v>0.68402777777777779</v>
      </c>
      <c r="V19" s="42"/>
      <c r="W19" s="42" t="s">
        <v>181</v>
      </c>
      <c r="X19" s="42"/>
    </row>
    <row r="20" spans="1:24" x14ac:dyDescent="0.1">
      <c r="B20" t="s">
        <v>36</v>
      </c>
      <c r="E20" t="s">
        <v>44</v>
      </c>
      <c r="H20" t="s">
        <v>44</v>
      </c>
      <c r="K20" t="s">
        <v>44</v>
      </c>
      <c r="N20" t="s">
        <v>36</v>
      </c>
      <c r="P20" t="s">
        <v>40</v>
      </c>
      <c r="Q20" t="s">
        <v>220</v>
      </c>
      <c r="R20" s="6">
        <v>0.68055555555555558</v>
      </c>
      <c r="T20" t="s">
        <v>36</v>
      </c>
      <c r="V20" t="s">
        <v>40</v>
      </c>
      <c r="W20" t="s">
        <v>182</v>
      </c>
      <c r="X20" s="6">
        <v>0.67708333333333337</v>
      </c>
    </row>
    <row r="21" spans="1:24" x14ac:dyDescent="0.1">
      <c r="B21" t="s">
        <v>60</v>
      </c>
      <c r="E21" t="s">
        <v>78</v>
      </c>
      <c r="H21" t="s">
        <v>78</v>
      </c>
      <c r="K21" t="s">
        <v>85</v>
      </c>
      <c r="N21" t="s">
        <v>78</v>
      </c>
      <c r="Q21" t="s">
        <v>44</v>
      </c>
      <c r="T21" t="s">
        <v>60</v>
      </c>
      <c r="W21" t="s">
        <v>44</v>
      </c>
    </row>
    <row r="22" spans="1:24" x14ac:dyDescent="0.1">
      <c r="A22" t="s">
        <v>42</v>
      </c>
      <c r="B22" t="s">
        <v>36</v>
      </c>
      <c r="C22" s="6">
        <v>0.69791666666666663</v>
      </c>
      <c r="D22" t="s">
        <v>42</v>
      </c>
      <c r="E22" t="s">
        <v>36</v>
      </c>
      <c r="F22" s="6">
        <v>0.69791666666666663</v>
      </c>
      <c r="G22" t="s">
        <v>42</v>
      </c>
      <c r="H22" t="s">
        <v>87</v>
      </c>
      <c r="I22" s="6">
        <v>0.69791666666666663</v>
      </c>
      <c r="J22" t="s">
        <v>42</v>
      </c>
      <c r="K22" t="s">
        <v>87</v>
      </c>
      <c r="L22" s="6">
        <v>0.69791666666666663</v>
      </c>
      <c r="M22" t="s">
        <v>42</v>
      </c>
      <c r="N22" t="s">
        <v>163</v>
      </c>
      <c r="O22" s="6">
        <v>0.70486111111111116</v>
      </c>
      <c r="Q22" t="s">
        <v>78</v>
      </c>
      <c r="S22" t="s">
        <v>42</v>
      </c>
      <c r="T22" t="s">
        <v>36</v>
      </c>
      <c r="U22" s="6">
        <v>0.70833333333333337</v>
      </c>
      <c r="W22" t="s">
        <v>114</v>
      </c>
    </row>
    <row r="23" spans="1:24" x14ac:dyDescent="0.1">
      <c r="B23" t="s">
        <v>316</v>
      </c>
      <c r="E23" t="s">
        <v>111</v>
      </c>
      <c r="H23" t="s">
        <v>140</v>
      </c>
      <c r="K23" t="s">
        <v>140</v>
      </c>
      <c r="N23" t="s">
        <v>237</v>
      </c>
      <c r="P23" t="s">
        <v>42</v>
      </c>
      <c r="Q23" t="s">
        <v>87</v>
      </c>
      <c r="R23" s="6">
        <v>0.70486111111111116</v>
      </c>
      <c r="T23" t="s">
        <v>78</v>
      </c>
      <c r="V23" t="s">
        <v>42</v>
      </c>
      <c r="W23" t="s">
        <v>25</v>
      </c>
      <c r="X23" s="6">
        <v>0.70486111111111116</v>
      </c>
    </row>
    <row r="24" spans="1:24" x14ac:dyDescent="0.1">
      <c r="A24" t="s">
        <v>46</v>
      </c>
      <c r="B24" t="s">
        <v>36</v>
      </c>
      <c r="C24" s="6">
        <v>0.72222222222222221</v>
      </c>
      <c r="D24" t="s">
        <v>46</v>
      </c>
      <c r="E24" t="s">
        <v>36</v>
      </c>
      <c r="F24" s="6">
        <v>0.72222222222222221</v>
      </c>
      <c r="G24" t="s">
        <v>46</v>
      </c>
      <c r="H24" t="s">
        <v>36</v>
      </c>
      <c r="I24" s="6">
        <v>0.72222222222222221</v>
      </c>
      <c r="J24" t="s">
        <v>46</v>
      </c>
      <c r="K24" t="s">
        <v>36</v>
      </c>
      <c r="L24" s="6">
        <v>0.72222222222222221</v>
      </c>
      <c r="M24" t="s">
        <v>46</v>
      </c>
      <c r="N24" t="s">
        <v>25</v>
      </c>
      <c r="O24" s="6">
        <v>0.72916666666666663</v>
      </c>
      <c r="Q24" t="s">
        <v>140</v>
      </c>
      <c r="S24" t="s">
        <v>46</v>
      </c>
      <c r="T24" t="s">
        <v>36</v>
      </c>
      <c r="U24" s="6">
        <v>0.72916666666666663</v>
      </c>
      <c r="W24" t="s">
        <v>108</v>
      </c>
    </row>
    <row r="25" spans="1:24" x14ac:dyDescent="0.1">
      <c r="B25" t="s">
        <v>78</v>
      </c>
      <c r="E25" t="s">
        <v>114</v>
      </c>
      <c r="H25" t="s">
        <v>85</v>
      </c>
      <c r="K25" t="s">
        <v>162</v>
      </c>
      <c r="N25" t="s">
        <v>122</v>
      </c>
      <c r="P25" t="s">
        <v>46</v>
      </c>
      <c r="Q25" t="s">
        <v>36</v>
      </c>
      <c r="R25" s="6">
        <v>0.72916666666666663</v>
      </c>
      <c r="T25" t="s">
        <v>114</v>
      </c>
      <c r="V25" t="s">
        <v>46</v>
      </c>
      <c r="W25" t="s">
        <v>36</v>
      </c>
      <c r="X25" s="6">
        <v>0.72916666666666663</v>
      </c>
    </row>
    <row r="26" spans="1:24" x14ac:dyDescent="0.1">
      <c r="A26" t="s">
        <v>49</v>
      </c>
      <c r="B26" t="s">
        <v>36</v>
      </c>
      <c r="C26" s="6">
        <v>0.74305555555555558</v>
      </c>
      <c r="D26" t="s">
        <v>49</v>
      </c>
      <c r="E26" t="s">
        <v>36</v>
      </c>
      <c r="F26" s="6">
        <v>0.74305555555555558</v>
      </c>
      <c r="G26" t="s">
        <v>49</v>
      </c>
      <c r="H26" t="s">
        <v>36</v>
      </c>
      <c r="I26" s="6">
        <v>0.74305555555555558</v>
      </c>
      <c r="J26" t="s">
        <v>49</v>
      </c>
      <c r="K26" t="s">
        <v>36</v>
      </c>
      <c r="L26" s="6">
        <v>0.74305555555555558</v>
      </c>
      <c r="M26" t="s">
        <v>49</v>
      </c>
      <c r="N26" t="s">
        <v>36</v>
      </c>
      <c r="O26" s="6">
        <v>0.75</v>
      </c>
      <c r="Q26" t="s">
        <v>85</v>
      </c>
      <c r="S26" t="s">
        <v>49</v>
      </c>
      <c r="T26" t="s">
        <v>36</v>
      </c>
      <c r="U26" s="6">
        <v>0.75</v>
      </c>
      <c r="W26" t="s">
        <v>113</v>
      </c>
    </row>
    <row r="27" spans="1:24" x14ac:dyDescent="0.1">
      <c r="B27" t="s">
        <v>39</v>
      </c>
      <c r="E27" t="s">
        <v>325</v>
      </c>
      <c r="H27" t="s">
        <v>135</v>
      </c>
      <c r="K27" t="s">
        <v>83</v>
      </c>
      <c r="N27" t="s">
        <v>115</v>
      </c>
      <c r="P27" t="s">
        <v>49</v>
      </c>
      <c r="Q27" t="s">
        <v>36</v>
      </c>
      <c r="R27" s="6">
        <v>0.75</v>
      </c>
      <c r="T27" t="s">
        <v>115</v>
      </c>
      <c r="V27" t="s">
        <v>49</v>
      </c>
      <c r="W27" t="s">
        <v>36</v>
      </c>
      <c r="X27" s="6">
        <v>0.75</v>
      </c>
    </row>
    <row r="28" spans="1:24" x14ac:dyDescent="0.1">
      <c r="A28" t="s">
        <v>53</v>
      </c>
      <c r="B28" t="s">
        <v>25</v>
      </c>
      <c r="C28" s="6">
        <v>0.76388888888888884</v>
      </c>
      <c r="D28" t="s">
        <v>53</v>
      </c>
      <c r="E28" t="s">
        <v>25</v>
      </c>
      <c r="F28" s="6">
        <v>0.76388888888888884</v>
      </c>
      <c r="G28" t="s">
        <v>53</v>
      </c>
      <c r="H28" t="s">
        <v>36</v>
      </c>
      <c r="I28" s="6">
        <v>0.76388888888888884</v>
      </c>
      <c r="J28" t="s">
        <v>53</v>
      </c>
      <c r="K28" t="s">
        <v>25</v>
      </c>
      <c r="L28" s="6">
        <v>0.76388888888888884</v>
      </c>
      <c r="M28" t="s">
        <v>53</v>
      </c>
      <c r="N28" t="s">
        <v>25</v>
      </c>
      <c r="O28" s="6">
        <v>0.77083333333333337</v>
      </c>
      <c r="Q28" t="s">
        <v>39</v>
      </c>
      <c r="S28" t="s">
        <v>53</v>
      </c>
      <c r="T28" t="s">
        <v>25</v>
      </c>
      <c r="U28" s="6">
        <v>0.77083333333333337</v>
      </c>
      <c r="W28" t="s">
        <v>111</v>
      </c>
    </row>
    <row r="29" spans="1:24" x14ac:dyDescent="0.1">
      <c r="B29" t="s">
        <v>76</v>
      </c>
      <c r="E29" t="s">
        <v>33</v>
      </c>
      <c r="H29" t="s">
        <v>115</v>
      </c>
      <c r="K29" t="s">
        <v>75</v>
      </c>
      <c r="N29" t="s">
        <v>107</v>
      </c>
      <c r="P29" t="s">
        <v>53</v>
      </c>
      <c r="Q29" t="s">
        <v>25</v>
      </c>
      <c r="R29" s="6">
        <v>0.77083333333333337</v>
      </c>
      <c r="T29" t="s">
        <v>122</v>
      </c>
      <c r="V29" t="s">
        <v>53</v>
      </c>
      <c r="W29" t="s">
        <v>25</v>
      </c>
      <c r="X29" s="6">
        <v>0.77083333333333337</v>
      </c>
    </row>
    <row r="30" spans="1:24" x14ac:dyDescent="0.1">
      <c r="Q30" t="s">
        <v>76</v>
      </c>
      <c r="W30" t="s">
        <v>89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E7B5-CABF-4358-B33F-2FE870BC9FB4}">
  <sheetPr codeName="Sheet25"/>
  <dimension ref="A1:X31"/>
  <sheetViews>
    <sheetView workbookViewId="0"/>
  </sheetViews>
  <sheetFormatPr defaultRowHeight="13.5" x14ac:dyDescent="0.1"/>
  <cols>
    <col min="1" max="1" width="11.1796875" bestFit="1" customWidth="1"/>
    <col min="2" max="2" width="18.26953125" bestFit="1" customWidth="1"/>
    <col min="3" max="3" width="9.26953125" bestFit="1" customWidth="1"/>
    <col min="4" max="4" width="11.1796875" bestFit="1" customWidth="1"/>
    <col min="5" max="5" width="18.1328125" bestFit="1" customWidth="1"/>
    <col min="6" max="6" width="9.26953125" bestFit="1" customWidth="1"/>
    <col min="7" max="7" width="11.1796875" bestFit="1" customWidth="1"/>
    <col min="8" max="8" width="18.26953125" bestFit="1" customWidth="1"/>
    <col min="9" max="9" width="9.26953125" bestFit="1" customWidth="1"/>
    <col min="10" max="10" width="11.1796875" bestFit="1" customWidth="1"/>
    <col min="11" max="11" width="23.1796875" bestFit="1" customWidth="1"/>
    <col min="12" max="12" width="9.26953125" bestFit="1" customWidth="1"/>
    <col min="13" max="13" width="11.1796875" bestFit="1" customWidth="1"/>
    <col min="14" max="14" width="29.453125" bestFit="1" customWidth="1"/>
    <col min="15" max="15" width="9.26953125" bestFit="1" customWidth="1"/>
    <col min="16" max="16" width="11.1796875" bestFit="1" customWidth="1"/>
    <col min="17" max="17" width="18.26953125" bestFit="1" customWidth="1"/>
    <col min="18" max="18" width="9.26953125" bestFit="1" customWidth="1"/>
    <col min="19" max="19" width="11.1796875" bestFit="1" customWidth="1"/>
    <col min="20" max="20" width="24.6796875" bestFit="1" customWidth="1"/>
    <col min="21" max="21" width="9.26953125" bestFit="1" customWidth="1"/>
    <col min="22" max="22" width="11.1796875" bestFit="1" customWidth="1"/>
    <col min="23" max="23" width="22.2265625" bestFit="1" customWidth="1"/>
    <col min="24" max="24" width="9.26953125" bestFit="1" customWidth="1"/>
  </cols>
  <sheetData>
    <row r="1" spans="1:24" x14ac:dyDescent="0.1">
      <c r="A1" t="s">
        <v>802</v>
      </c>
      <c r="D1" t="s">
        <v>814</v>
      </c>
      <c r="G1" t="s">
        <v>833</v>
      </c>
      <c r="J1" t="s">
        <v>847</v>
      </c>
      <c r="M1" t="s">
        <v>227</v>
      </c>
      <c r="N1" s="1"/>
      <c r="P1" t="s">
        <v>212</v>
      </c>
      <c r="Q1" s="1"/>
      <c r="S1" t="s">
        <v>191</v>
      </c>
      <c r="T1" s="1"/>
      <c r="V1" t="s">
        <v>172</v>
      </c>
      <c r="W1" s="1"/>
    </row>
    <row r="2" spans="1:24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</row>
    <row r="3" spans="1:24" x14ac:dyDescent="0.1">
      <c r="A3" t="s">
        <v>24</v>
      </c>
      <c r="B3" t="s">
        <v>25</v>
      </c>
      <c r="C3" s="6">
        <v>0.41666666666666669</v>
      </c>
      <c r="D3" t="s">
        <v>24</v>
      </c>
      <c r="E3" t="s">
        <v>28</v>
      </c>
      <c r="F3" s="6">
        <v>0.41666666666666669</v>
      </c>
      <c r="G3" t="s">
        <v>24</v>
      </c>
      <c r="H3" t="s">
        <v>25</v>
      </c>
      <c r="I3" s="6">
        <v>0.41666666666666669</v>
      </c>
      <c r="J3" t="s">
        <v>24</v>
      </c>
      <c r="K3" t="s">
        <v>25</v>
      </c>
      <c r="L3" s="6">
        <v>0.41666666666666669</v>
      </c>
      <c r="M3" t="s">
        <v>24</v>
      </c>
      <c r="N3" t="s">
        <v>25</v>
      </c>
      <c r="O3" s="6">
        <v>0.41666666666666669</v>
      </c>
      <c r="P3" t="s">
        <v>24</v>
      </c>
      <c r="Q3" t="s">
        <v>28</v>
      </c>
      <c r="R3" s="6">
        <v>0.41666666666666669</v>
      </c>
      <c r="S3" t="s">
        <v>24</v>
      </c>
      <c r="T3" t="s">
        <v>25</v>
      </c>
      <c r="U3" s="6">
        <v>0.41666666666666669</v>
      </c>
      <c r="V3" t="s">
        <v>24</v>
      </c>
      <c r="W3" t="s">
        <v>25</v>
      </c>
      <c r="X3" s="6">
        <v>0.41666666666666669</v>
      </c>
    </row>
    <row r="4" spans="1:24" x14ac:dyDescent="0.1">
      <c r="B4" t="s">
        <v>55</v>
      </c>
      <c r="E4" t="s">
        <v>55</v>
      </c>
      <c r="H4" t="s">
        <v>55</v>
      </c>
      <c r="K4" t="s">
        <v>26</v>
      </c>
      <c r="N4" t="s">
        <v>26</v>
      </c>
      <c r="Q4" t="s">
        <v>31</v>
      </c>
      <c r="T4" t="s">
        <v>31</v>
      </c>
      <c r="W4" t="s">
        <v>26</v>
      </c>
    </row>
    <row r="5" spans="1:24" x14ac:dyDescent="0.1">
      <c r="A5" t="s">
        <v>27</v>
      </c>
      <c r="B5" t="s">
        <v>28</v>
      </c>
      <c r="C5" s="6">
        <v>0.4375</v>
      </c>
      <c r="D5" t="s">
        <v>27</v>
      </c>
      <c r="E5" t="s">
        <v>25</v>
      </c>
      <c r="F5" s="6">
        <v>0.4375</v>
      </c>
      <c r="G5" t="s">
        <v>27</v>
      </c>
      <c r="H5" t="s">
        <v>28</v>
      </c>
      <c r="I5" s="6">
        <v>0.4375</v>
      </c>
      <c r="J5" t="s">
        <v>27</v>
      </c>
      <c r="K5" t="s">
        <v>25</v>
      </c>
      <c r="L5" s="6">
        <v>0.4375</v>
      </c>
      <c r="M5" t="s">
        <v>27</v>
      </c>
      <c r="N5" t="s">
        <v>28</v>
      </c>
      <c r="O5" s="6">
        <v>0.4375</v>
      </c>
      <c r="P5" t="s">
        <v>27</v>
      </c>
      <c r="Q5" t="s">
        <v>25</v>
      </c>
      <c r="R5" s="6">
        <v>0.4375</v>
      </c>
      <c r="S5" t="s">
        <v>27</v>
      </c>
      <c r="T5" t="s">
        <v>28</v>
      </c>
      <c r="U5" s="6">
        <v>0.4375</v>
      </c>
      <c r="V5" t="s">
        <v>27</v>
      </c>
      <c r="W5" t="s">
        <v>28</v>
      </c>
      <c r="X5" s="6">
        <v>0.4375</v>
      </c>
    </row>
    <row r="6" spans="1:24" x14ac:dyDescent="0.1">
      <c r="B6" t="s">
        <v>33</v>
      </c>
      <c r="E6" t="s">
        <v>26</v>
      </c>
      <c r="H6" t="s">
        <v>65</v>
      </c>
      <c r="K6" t="s">
        <v>57</v>
      </c>
      <c r="N6" t="s">
        <v>57</v>
      </c>
      <c r="Q6" t="s">
        <v>55</v>
      </c>
      <c r="T6" t="s">
        <v>65</v>
      </c>
      <c r="W6" t="s">
        <v>33</v>
      </c>
    </row>
    <row r="7" spans="1:24" x14ac:dyDescent="0.1">
      <c r="A7" t="s">
        <v>30</v>
      </c>
      <c r="B7" t="s">
        <v>25</v>
      </c>
      <c r="C7" s="6">
        <v>0.45833333333333331</v>
      </c>
      <c r="D7" t="s">
        <v>30</v>
      </c>
      <c r="E7" t="s">
        <v>25</v>
      </c>
      <c r="F7" s="6">
        <v>0.45833333333333331</v>
      </c>
      <c r="G7" t="s">
        <v>30</v>
      </c>
      <c r="H7" t="s">
        <v>25</v>
      </c>
      <c r="I7" s="6">
        <v>0.45833333333333331</v>
      </c>
      <c r="J7" t="s">
        <v>30</v>
      </c>
      <c r="K7" t="s">
        <v>25</v>
      </c>
      <c r="L7" s="6">
        <v>0.45833333333333331</v>
      </c>
      <c r="M7" t="s">
        <v>30</v>
      </c>
      <c r="N7" t="s">
        <v>25</v>
      </c>
      <c r="O7" s="6">
        <v>0.45833333333333331</v>
      </c>
      <c r="P7" t="s">
        <v>30</v>
      </c>
      <c r="Q7" t="s">
        <v>36</v>
      </c>
      <c r="R7" s="6">
        <v>0.45833333333333331</v>
      </c>
      <c r="S7" t="s">
        <v>30</v>
      </c>
      <c r="T7" t="s">
        <v>25</v>
      </c>
      <c r="U7" s="6">
        <v>0.45833333333333331</v>
      </c>
      <c r="V7" t="s">
        <v>30</v>
      </c>
      <c r="W7" t="s">
        <v>36</v>
      </c>
      <c r="X7" s="6">
        <v>0.45833333333333331</v>
      </c>
    </row>
    <row r="8" spans="1:24" x14ac:dyDescent="0.1">
      <c r="B8" t="s">
        <v>31</v>
      </c>
      <c r="E8" t="s">
        <v>33</v>
      </c>
      <c r="H8" t="s">
        <v>31</v>
      </c>
      <c r="K8" t="s">
        <v>31</v>
      </c>
      <c r="N8" t="s">
        <v>31</v>
      </c>
      <c r="Q8" t="s">
        <v>60</v>
      </c>
      <c r="T8" t="s">
        <v>55</v>
      </c>
      <c r="W8" t="s">
        <v>48</v>
      </c>
    </row>
    <row r="9" spans="1:24" x14ac:dyDescent="0.1">
      <c r="A9" t="s">
        <v>32</v>
      </c>
      <c r="B9" t="s">
        <v>25</v>
      </c>
      <c r="C9" s="6">
        <v>0.47916666666666669</v>
      </c>
      <c r="D9" t="s">
        <v>32</v>
      </c>
      <c r="E9" t="s">
        <v>25</v>
      </c>
      <c r="F9" s="6">
        <v>0.47916666666666669</v>
      </c>
      <c r="G9" t="s">
        <v>32</v>
      </c>
      <c r="H9" t="s">
        <v>36</v>
      </c>
      <c r="I9" s="6">
        <v>0.47916666666666669</v>
      </c>
      <c r="J9" t="s">
        <v>32</v>
      </c>
      <c r="K9" t="s">
        <v>36</v>
      </c>
      <c r="L9" s="6">
        <v>0.47916666666666669</v>
      </c>
      <c r="M9" t="s">
        <v>32</v>
      </c>
      <c r="N9" t="s">
        <v>36</v>
      </c>
      <c r="O9" s="6">
        <v>0.47916666666666669</v>
      </c>
      <c r="P9" t="s">
        <v>32</v>
      </c>
      <c r="Q9" t="s">
        <v>25</v>
      </c>
      <c r="R9" s="6">
        <v>0.47916666666666669</v>
      </c>
      <c r="S9" t="s">
        <v>32</v>
      </c>
      <c r="T9" t="s">
        <v>25</v>
      </c>
      <c r="U9" s="6">
        <v>0.47916666666666669</v>
      </c>
      <c r="V9" t="s">
        <v>32</v>
      </c>
      <c r="W9" t="s">
        <v>25</v>
      </c>
      <c r="X9" s="6">
        <v>0.47916666666666669</v>
      </c>
    </row>
    <row r="10" spans="1:24" x14ac:dyDescent="0.1">
      <c r="B10" t="s">
        <v>101</v>
      </c>
      <c r="E10" t="s">
        <v>31</v>
      </c>
      <c r="H10" t="s">
        <v>48</v>
      </c>
      <c r="K10" t="s">
        <v>73</v>
      </c>
      <c r="N10" t="s">
        <v>41</v>
      </c>
      <c r="Q10" t="s">
        <v>31</v>
      </c>
      <c r="T10" t="s">
        <v>192</v>
      </c>
      <c r="W10" t="s">
        <v>31</v>
      </c>
    </row>
    <row r="11" spans="1:24" x14ac:dyDescent="0.1">
      <c r="A11" t="s">
        <v>34</v>
      </c>
      <c r="B11" t="s">
        <v>56</v>
      </c>
      <c r="C11" s="6">
        <v>0.51388888888888884</v>
      </c>
      <c r="D11" t="s">
        <v>34</v>
      </c>
      <c r="E11" t="s">
        <v>56</v>
      </c>
      <c r="F11" s="6">
        <v>0.51388888888888884</v>
      </c>
      <c r="G11" t="s">
        <v>34</v>
      </c>
      <c r="H11" t="s">
        <v>56</v>
      </c>
      <c r="I11" s="6">
        <v>0.51388888888888884</v>
      </c>
      <c r="J11" t="s">
        <v>34</v>
      </c>
      <c r="K11" t="s">
        <v>56</v>
      </c>
      <c r="L11" s="6">
        <v>0.51388888888888884</v>
      </c>
      <c r="M11" t="s">
        <v>34</v>
      </c>
      <c r="N11" t="s">
        <v>56</v>
      </c>
      <c r="O11" s="6">
        <v>0.51388888888888884</v>
      </c>
      <c r="P11" t="s">
        <v>34</v>
      </c>
      <c r="Q11" t="s">
        <v>56</v>
      </c>
      <c r="R11" s="6">
        <v>0.51388888888888884</v>
      </c>
      <c r="S11" t="s">
        <v>34</v>
      </c>
      <c r="T11" t="s">
        <v>56</v>
      </c>
      <c r="U11" s="6">
        <v>0.51388888888888884</v>
      </c>
      <c r="V11" t="s">
        <v>34</v>
      </c>
      <c r="W11" t="s">
        <v>56</v>
      </c>
      <c r="X11" s="6">
        <v>0.51388888888888884</v>
      </c>
    </row>
    <row r="12" spans="1:24" x14ac:dyDescent="0.1">
      <c r="B12" t="s">
        <v>31</v>
      </c>
      <c r="E12" t="s">
        <v>65</v>
      </c>
      <c r="H12" t="s">
        <v>57</v>
      </c>
      <c r="K12" t="s">
        <v>65</v>
      </c>
      <c r="N12" t="s">
        <v>65</v>
      </c>
      <c r="Q12" t="s">
        <v>101</v>
      </c>
      <c r="T12" t="s">
        <v>33</v>
      </c>
      <c r="W12" t="s">
        <v>65</v>
      </c>
    </row>
    <row r="13" spans="1:24" x14ac:dyDescent="0.1">
      <c r="A13" t="s">
        <v>35</v>
      </c>
      <c r="B13" t="s">
        <v>25</v>
      </c>
      <c r="C13" s="6">
        <v>0.53472222222222221</v>
      </c>
      <c r="D13" t="s">
        <v>35</v>
      </c>
      <c r="E13" t="s">
        <v>25</v>
      </c>
      <c r="F13" s="6">
        <v>0.53472222222222221</v>
      </c>
      <c r="G13" t="s">
        <v>35</v>
      </c>
      <c r="H13" t="s">
        <v>36</v>
      </c>
      <c r="I13" s="6">
        <v>0.53472222222222221</v>
      </c>
      <c r="J13" t="s">
        <v>35</v>
      </c>
      <c r="K13" t="s">
        <v>36</v>
      </c>
      <c r="L13" s="6">
        <v>0.53472222222222221</v>
      </c>
      <c r="M13" t="s">
        <v>35</v>
      </c>
      <c r="N13" t="s">
        <v>25</v>
      </c>
      <c r="O13" s="6">
        <v>0.53472222222222221</v>
      </c>
      <c r="P13" t="s">
        <v>35</v>
      </c>
      <c r="Q13" t="s">
        <v>25</v>
      </c>
      <c r="R13" s="6">
        <v>0.53472222222222221</v>
      </c>
      <c r="S13" t="s">
        <v>35</v>
      </c>
      <c r="T13" t="s">
        <v>25</v>
      </c>
      <c r="U13" s="6">
        <v>0.53472222222222221</v>
      </c>
      <c r="V13" t="s">
        <v>35</v>
      </c>
      <c r="W13" t="s">
        <v>36</v>
      </c>
      <c r="X13" s="6">
        <v>0.53472222222222221</v>
      </c>
    </row>
    <row r="14" spans="1:24" x14ac:dyDescent="0.1">
      <c r="B14" t="s">
        <v>65</v>
      </c>
      <c r="E14" t="s">
        <v>29</v>
      </c>
      <c r="H14" t="s">
        <v>651</v>
      </c>
      <c r="K14" t="s">
        <v>45</v>
      </c>
      <c r="N14" t="s">
        <v>228</v>
      </c>
      <c r="Q14" t="s">
        <v>149</v>
      </c>
      <c r="T14" t="s">
        <v>57</v>
      </c>
      <c r="W14" t="s">
        <v>37</v>
      </c>
    </row>
    <row r="15" spans="1:24" x14ac:dyDescent="0.1">
      <c r="A15" t="s">
        <v>38</v>
      </c>
      <c r="B15" t="s">
        <v>36</v>
      </c>
      <c r="C15" s="6">
        <v>0.55555555555555558</v>
      </c>
      <c r="D15" t="s">
        <v>38</v>
      </c>
      <c r="E15" t="s">
        <v>36</v>
      </c>
      <c r="F15" s="6">
        <v>0.55555555555555558</v>
      </c>
      <c r="G15" t="s">
        <v>38</v>
      </c>
      <c r="H15" t="s">
        <v>25</v>
      </c>
      <c r="I15" s="6">
        <v>0.55555555555555558</v>
      </c>
      <c r="J15" t="s">
        <v>38</v>
      </c>
      <c r="K15" t="s">
        <v>25</v>
      </c>
      <c r="L15" s="6">
        <v>0.55555555555555558</v>
      </c>
      <c r="M15" t="s">
        <v>38</v>
      </c>
      <c r="N15" t="s">
        <v>36</v>
      </c>
      <c r="O15" s="6">
        <v>0.55555555555555558</v>
      </c>
      <c r="P15" t="s">
        <v>38</v>
      </c>
      <c r="Q15" t="s">
        <v>25</v>
      </c>
      <c r="R15" s="6">
        <v>0.55555555555555558</v>
      </c>
      <c r="S15" t="s">
        <v>38</v>
      </c>
      <c r="T15" t="s">
        <v>36</v>
      </c>
      <c r="U15" s="6">
        <v>0.55555555555555558</v>
      </c>
      <c r="V15" t="s">
        <v>38</v>
      </c>
      <c r="W15" t="s">
        <v>25</v>
      </c>
      <c r="X15" s="6">
        <v>0.55902777777777779</v>
      </c>
    </row>
    <row r="16" spans="1:24" x14ac:dyDescent="0.1">
      <c r="B16" t="s">
        <v>39</v>
      </c>
      <c r="E16" t="s">
        <v>37</v>
      </c>
      <c r="H16" t="s">
        <v>65</v>
      </c>
      <c r="K16" t="s">
        <v>29</v>
      </c>
      <c r="N16" t="s">
        <v>37</v>
      </c>
      <c r="Q16" t="s">
        <v>29</v>
      </c>
      <c r="T16" t="s">
        <v>135</v>
      </c>
      <c r="W16" t="s">
        <v>29</v>
      </c>
    </row>
    <row r="17" spans="1:24" x14ac:dyDescent="0.1">
      <c r="A17" t="s">
        <v>40</v>
      </c>
      <c r="B17" t="s">
        <v>36</v>
      </c>
      <c r="C17" s="6">
        <v>0.57638888888888884</v>
      </c>
      <c r="D17" t="s">
        <v>40</v>
      </c>
      <c r="E17" t="s">
        <v>36</v>
      </c>
      <c r="F17" s="6">
        <v>0.57638888888888884</v>
      </c>
      <c r="G17" t="s">
        <v>40</v>
      </c>
      <c r="H17" t="s">
        <v>36</v>
      </c>
      <c r="I17" s="6">
        <v>0.57638888888888884</v>
      </c>
      <c r="J17" t="s">
        <v>40</v>
      </c>
      <c r="K17" t="s">
        <v>36</v>
      </c>
      <c r="L17" s="6">
        <v>0.57638888888888884</v>
      </c>
      <c r="M17" t="s">
        <v>40</v>
      </c>
      <c r="N17" t="s">
        <v>25</v>
      </c>
      <c r="O17" s="6">
        <v>0.57638888888888884</v>
      </c>
      <c r="P17" t="s">
        <v>40</v>
      </c>
      <c r="Q17" t="s">
        <v>36</v>
      </c>
      <c r="R17" s="6">
        <v>0.57638888888888884</v>
      </c>
      <c r="S17" t="s">
        <v>40</v>
      </c>
      <c r="T17" t="s">
        <v>36</v>
      </c>
      <c r="U17" s="6">
        <v>0.57638888888888884</v>
      </c>
      <c r="V17" t="s">
        <v>40</v>
      </c>
      <c r="W17" t="s">
        <v>36</v>
      </c>
      <c r="X17" s="6">
        <v>0.58333333333333337</v>
      </c>
    </row>
    <row r="18" spans="1:24" x14ac:dyDescent="0.1">
      <c r="B18" t="s">
        <v>45</v>
      </c>
      <c r="E18" t="s">
        <v>41</v>
      </c>
      <c r="H18" t="s">
        <v>45</v>
      </c>
      <c r="K18" t="s">
        <v>39</v>
      </c>
      <c r="N18" t="s">
        <v>33</v>
      </c>
      <c r="Q18" t="s">
        <v>45</v>
      </c>
      <c r="T18" t="s">
        <v>45</v>
      </c>
      <c r="W18" t="s">
        <v>45</v>
      </c>
    </row>
    <row r="19" spans="1:24" x14ac:dyDescent="0.1">
      <c r="A19" t="s">
        <v>42</v>
      </c>
      <c r="B19" t="s">
        <v>36</v>
      </c>
      <c r="C19" s="6">
        <v>0.59722222222222221</v>
      </c>
      <c r="D19" t="s">
        <v>42</v>
      </c>
      <c r="E19" t="s">
        <v>36</v>
      </c>
      <c r="F19" s="6">
        <v>0.59722222222222221</v>
      </c>
      <c r="G19" t="s">
        <v>42</v>
      </c>
      <c r="H19" t="s">
        <v>36</v>
      </c>
      <c r="I19" s="6">
        <v>0.59722222222222221</v>
      </c>
      <c r="J19" t="s">
        <v>42</v>
      </c>
      <c r="K19" t="s">
        <v>44</v>
      </c>
      <c r="L19" s="6">
        <v>0.59722222222222221</v>
      </c>
      <c r="M19" t="s">
        <v>42</v>
      </c>
      <c r="N19" t="s">
        <v>36</v>
      </c>
      <c r="O19" s="6">
        <v>0.59722222222222221</v>
      </c>
      <c r="P19" t="s">
        <v>42</v>
      </c>
      <c r="Q19" t="s">
        <v>36</v>
      </c>
      <c r="R19" s="6">
        <v>0.59722222222222221</v>
      </c>
      <c r="S19" t="s">
        <v>42</v>
      </c>
      <c r="T19" t="s">
        <v>193</v>
      </c>
      <c r="U19" s="6">
        <v>0.60069444444444442</v>
      </c>
      <c r="V19" t="s">
        <v>42</v>
      </c>
      <c r="W19" t="s">
        <v>173</v>
      </c>
      <c r="X19" s="6">
        <v>0.60763888888888884</v>
      </c>
    </row>
    <row r="20" spans="1:24" x14ac:dyDescent="0.1">
      <c r="B20" t="s">
        <v>58</v>
      </c>
      <c r="E20" t="s">
        <v>66</v>
      </c>
      <c r="H20" t="s">
        <v>834</v>
      </c>
      <c r="K20" t="s">
        <v>37</v>
      </c>
      <c r="N20" t="s">
        <v>66</v>
      </c>
      <c r="Q20" t="s">
        <v>196</v>
      </c>
      <c r="T20" t="s">
        <v>64</v>
      </c>
      <c r="W20" t="s">
        <v>36</v>
      </c>
    </row>
    <row r="21" spans="1:24" x14ac:dyDescent="0.1">
      <c r="A21" t="s">
        <v>46</v>
      </c>
      <c r="B21" t="s">
        <v>803</v>
      </c>
      <c r="C21" s="6">
        <v>0.61805555555555558</v>
      </c>
      <c r="D21" t="s">
        <v>46</v>
      </c>
      <c r="E21" t="s">
        <v>815</v>
      </c>
      <c r="F21" s="6">
        <v>0.61805555555555558</v>
      </c>
      <c r="G21" t="s">
        <v>46</v>
      </c>
      <c r="H21" t="s">
        <v>835</v>
      </c>
      <c r="I21" s="6">
        <v>0.61805555555555558</v>
      </c>
      <c r="J21" t="s">
        <v>46</v>
      </c>
      <c r="K21" t="s">
        <v>848</v>
      </c>
      <c r="L21" s="6">
        <v>0.61805555555555558</v>
      </c>
      <c r="M21" t="s">
        <v>46</v>
      </c>
      <c r="N21" t="s">
        <v>229</v>
      </c>
      <c r="O21" s="6">
        <v>0.61805555555555558</v>
      </c>
      <c r="P21" t="s">
        <v>46</v>
      </c>
      <c r="Q21" t="s">
        <v>213</v>
      </c>
      <c r="R21" s="6">
        <v>0.61805555555555558</v>
      </c>
      <c r="T21" t="s">
        <v>194</v>
      </c>
      <c r="W21" t="s">
        <v>39</v>
      </c>
    </row>
    <row r="22" spans="1:24" x14ac:dyDescent="0.1">
      <c r="B22" t="s">
        <v>44</v>
      </c>
      <c r="E22" t="s">
        <v>44</v>
      </c>
      <c r="H22" t="s">
        <v>44</v>
      </c>
      <c r="K22" t="s">
        <v>71</v>
      </c>
      <c r="N22" t="s">
        <v>44</v>
      </c>
      <c r="Q22" t="s">
        <v>44</v>
      </c>
      <c r="S22" t="s">
        <v>46</v>
      </c>
      <c r="T22" t="s">
        <v>195</v>
      </c>
      <c r="U22" s="6">
        <v>0.625</v>
      </c>
      <c r="V22" t="s">
        <v>46</v>
      </c>
      <c r="W22" t="s">
        <v>174</v>
      </c>
      <c r="X22" s="6">
        <v>0.63194444444444442</v>
      </c>
    </row>
    <row r="23" spans="1:24" x14ac:dyDescent="0.1">
      <c r="B23" t="s">
        <v>73</v>
      </c>
      <c r="E23" t="s">
        <v>816</v>
      </c>
      <c r="H23" t="s">
        <v>48</v>
      </c>
      <c r="K23" t="s">
        <v>45</v>
      </c>
      <c r="N23" t="s">
        <v>60</v>
      </c>
      <c r="Q23" t="s">
        <v>198</v>
      </c>
      <c r="T23" t="s">
        <v>44</v>
      </c>
      <c r="W23" t="s">
        <v>44</v>
      </c>
    </row>
    <row r="24" spans="1:24" x14ac:dyDescent="0.1">
      <c r="A24" t="s">
        <v>49</v>
      </c>
      <c r="B24" t="s">
        <v>804</v>
      </c>
      <c r="C24" s="6">
        <v>0.64236111111111116</v>
      </c>
      <c r="D24" t="s">
        <v>49</v>
      </c>
      <c r="E24" t="s">
        <v>817</v>
      </c>
      <c r="F24" s="6">
        <v>0.64236111111111116</v>
      </c>
      <c r="G24" t="s">
        <v>49</v>
      </c>
      <c r="H24" t="s">
        <v>836</v>
      </c>
      <c r="I24" s="6">
        <v>0.64236111111111116</v>
      </c>
      <c r="J24" t="s">
        <v>49</v>
      </c>
      <c r="K24" t="s">
        <v>849</v>
      </c>
      <c r="L24" s="6">
        <v>0.64236111111111116</v>
      </c>
      <c r="M24" t="s">
        <v>49</v>
      </c>
      <c r="N24" t="s">
        <v>230</v>
      </c>
      <c r="O24" s="6">
        <v>0.64236111111111116</v>
      </c>
      <c r="P24" t="s">
        <v>49</v>
      </c>
      <c r="Q24" t="s">
        <v>214</v>
      </c>
      <c r="R24" s="6">
        <v>0.64236111111111116</v>
      </c>
      <c r="T24" t="s">
        <v>196</v>
      </c>
      <c r="W24" t="s">
        <v>37</v>
      </c>
    </row>
    <row r="25" spans="1:24" x14ac:dyDescent="0.1">
      <c r="B25" t="s">
        <v>71</v>
      </c>
      <c r="E25" t="s">
        <v>51</v>
      </c>
      <c r="H25" t="s">
        <v>71</v>
      </c>
      <c r="K25" t="s">
        <v>850</v>
      </c>
      <c r="N25" t="s">
        <v>51</v>
      </c>
      <c r="Q25" t="s">
        <v>51</v>
      </c>
      <c r="S25" t="s">
        <v>49</v>
      </c>
      <c r="T25" t="s">
        <v>197</v>
      </c>
      <c r="U25" s="6">
        <v>0.64930555555555558</v>
      </c>
      <c r="V25" s="42" t="s">
        <v>49</v>
      </c>
      <c r="W25" s="42" t="s">
        <v>93</v>
      </c>
      <c r="X25" s="43">
        <v>0.65625</v>
      </c>
    </row>
    <row r="26" spans="1:24" x14ac:dyDescent="0.1">
      <c r="B26" t="s">
        <v>39</v>
      </c>
      <c r="E26" t="s">
        <v>818</v>
      </c>
      <c r="H26" t="s">
        <v>203</v>
      </c>
      <c r="K26" t="s">
        <v>51</v>
      </c>
      <c r="N26" t="s">
        <v>231</v>
      </c>
      <c r="Q26" t="s">
        <v>103</v>
      </c>
      <c r="T26" t="s">
        <v>71</v>
      </c>
      <c r="V26" s="42"/>
      <c r="W26" s="42" t="s">
        <v>175</v>
      </c>
      <c r="X26" s="42"/>
    </row>
    <row r="27" spans="1:24" x14ac:dyDescent="0.1">
      <c r="A27" t="s">
        <v>53</v>
      </c>
      <c r="B27" t="s">
        <v>805</v>
      </c>
      <c r="C27" s="6">
        <v>0.66666666666666663</v>
      </c>
      <c r="D27" t="s">
        <v>53</v>
      </c>
      <c r="E27" t="s">
        <v>819</v>
      </c>
      <c r="F27" s="6">
        <v>0.66666666666666663</v>
      </c>
      <c r="G27" t="s">
        <v>53</v>
      </c>
      <c r="H27" t="s">
        <v>837</v>
      </c>
      <c r="I27" s="6">
        <v>0.66666666666666663</v>
      </c>
      <c r="K27" t="s">
        <v>404</v>
      </c>
      <c r="M27" t="s">
        <v>53</v>
      </c>
      <c r="N27" t="s">
        <v>232</v>
      </c>
      <c r="O27" s="6">
        <v>0.66666666666666663</v>
      </c>
      <c r="P27" t="s">
        <v>53</v>
      </c>
      <c r="Q27" t="s">
        <v>215</v>
      </c>
      <c r="R27" s="6">
        <v>0.66666666666666663</v>
      </c>
      <c r="T27" t="s">
        <v>198</v>
      </c>
      <c r="V27" s="42"/>
      <c r="W27" s="42" t="s">
        <v>51</v>
      </c>
      <c r="X27" s="42"/>
    </row>
    <row r="28" spans="1:24" x14ac:dyDescent="0.1">
      <c r="B28" t="s">
        <v>44</v>
      </c>
      <c r="E28" t="s">
        <v>36</v>
      </c>
      <c r="H28" t="s">
        <v>44</v>
      </c>
      <c r="J28" t="s">
        <v>53</v>
      </c>
      <c r="K28" t="s">
        <v>851</v>
      </c>
      <c r="L28" s="6">
        <v>0.66666666666666663</v>
      </c>
      <c r="N28" t="s">
        <v>44</v>
      </c>
      <c r="Q28" t="s">
        <v>36</v>
      </c>
      <c r="S28" t="s">
        <v>53</v>
      </c>
      <c r="T28" t="s">
        <v>199</v>
      </c>
      <c r="U28" s="6">
        <v>0.67708333333333337</v>
      </c>
      <c r="V28" s="42"/>
      <c r="W28" s="42" t="s">
        <v>60</v>
      </c>
      <c r="X28" s="42"/>
    </row>
    <row r="29" spans="1:24" x14ac:dyDescent="0.1">
      <c r="B29" t="s">
        <v>45</v>
      </c>
      <c r="E29" t="s">
        <v>60</v>
      </c>
      <c r="H29" t="s">
        <v>66</v>
      </c>
      <c r="K29" t="s">
        <v>44</v>
      </c>
      <c r="N29" t="s">
        <v>41</v>
      </c>
      <c r="Q29" t="s">
        <v>48</v>
      </c>
      <c r="T29" t="s">
        <v>36</v>
      </c>
      <c r="V29" t="s">
        <v>53</v>
      </c>
      <c r="W29" t="s">
        <v>176</v>
      </c>
      <c r="X29" s="6">
        <v>0.6875</v>
      </c>
    </row>
    <row r="30" spans="1:24" x14ac:dyDescent="0.1">
      <c r="K30" t="s">
        <v>39</v>
      </c>
      <c r="T30" t="s">
        <v>73</v>
      </c>
      <c r="W30" t="s">
        <v>44</v>
      </c>
    </row>
    <row r="31" spans="1:24" x14ac:dyDescent="0.1">
      <c r="W31" t="s">
        <v>73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1CEE-56BB-4CE1-803D-33BDC9FB2D9D}">
  <sheetPr codeName="Sheet26"/>
  <dimension ref="A1:L32"/>
  <sheetViews>
    <sheetView workbookViewId="0"/>
  </sheetViews>
  <sheetFormatPr defaultRowHeight="13.5" x14ac:dyDescent="0.1"/>
  <cols>
    <col min="1" max="1" width="11.1796875" bestFit="1" customWidth="1"/>
    <col min="2" max="2" width="18.81640625" bestFit="1" customWidth="1"/>
    <col min="3" max="3" width="9.26953125" bestFit="1" customWidth="1"/>
    <col min="4" max="4" width="11.1796875" bestFit="1" customWidth="1"/>
    <col min="5" max="5" width="30.81640625" bestFit="1" customWidth="1"/>
    <col min="6" max="6" width="9.26953125" bestFit="1" customWidth="1"/>
    <col min="7" max="7" width="11.1796875" bestFit="1" customWidth="1"/>
    <col min="8" max="8" width="21.26953125" bestFit="1" customWidth="1"/>
    <col min="9" max="9" width="9.26953125" bestFit="1" customWidth="1"/>
    <col min="10" max="10" width="11.1796875" bestFit="1" customWidth="1"/>
    <col min="11" max="11" width="22.90625" bestFit="1" customWidth="1"/>
    <col min="12" max="12" width="9.26953125" bestFit="1" customWidth="1"/>
  </cols>
  <sheetData>
    <row r="1" spans="1:12" x14ac:dyDescent="0.1">
      <c r="A1" t="s">
        <v>165</v>
      </c>
      <c r="B1" s="1"/>
      <c r="D1" t="s">
        <v>141</v>
      </c>
      <c r="E1" s="1"/>
      <c r="G1" t="s">
        <v>116</v>
      </c>
      <c r="H1" s="1"/>
      <c r="J1" t="s">
        <v>86</v>
      </c>
      <c r="K1" s="1"/>
    </row>
    <row r="2" spans="1:12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</row>
    <row r="3" spans="1:12" x14ac:dyDescent="0.1">
      <c r="A3" t="s">
        <v>24</v>
      </c>
      <c r="B3" t="s">
        <v>28</v>
      </c>
      <c r="C3" s="6">
        <v>0.40277777777777779</v>
      </c>
      <c r="D3" t="s">
        <v>24</v>
      </c>
      <c r="E3" t="s">
        <v>28</v>
      </c>
      <c r="F3" s="6">
        <v>0.40277777777777779</v>
      </c>
      <c r="G3" t="s">
        <v>24</v>
      </c>
      <c r="H3" t="s">
        <v>87</v>
      </c>
      <c r="I3" s="6">
        <v>0.40277777777777779</v>
      </c>
      <c r="J3" t="s">
        <v>24</v>
      </c>
      <c r="K3" t="s">
        <v>87</v>
      </c>
      <c r="L3" s="6">
        <v>0.40277777777777779</v>
      </c>
    </row>
    <row r="4" spans="1:12" x14ac:dyDescent="0.1">
      <c r="B4" t="s">
        <v>90</v>
      </c>
      <c r="E4" t="s">
        <v>75</v>
      </c>
      <c r="H4" t="s">
        <v>88</v>
      </c>
      <c r="K4" t="s">
        <v>88</v>
      </c>
    </row>
    <row r="5" spans="1:12" x14ac:dyDescent="0.1">
      <c r="A5" t="s">
        <v>27</v>
      </c>
      <c r="B5" t="s">
        <v>28</v>
      </c>
      <c r="C5" s="6">
        <v>0.4236111111111111</v>
      </c>
      <c r="D5" t="s">
        <v>27</v>
      </c>
      <c r="E5" t="s">
        <v>56</v>
      </c>
      <c r="F5" s="6">
        <v>0.4236111111111111</v>
      </c>
      <c r="G5" t="s">
        <v>27</v>
      </c>
      <c r="H5" t="s">
        <v>25</v>
      </c>
      <c r="I5" s="6">
        <v>0.42708333333333331</v>
      </c>
      <c r="J5" t="s">
        <v>27</v>
      </c>
      <c r="K5" t="s">
        <v>56</v>
      </c>
      <c r="L5" s="6">
        <v>0.42708333333333331</v>
      </c>
    </row>
    <row r="6" spans="1:12" x14ac:dyDescent="0.1">
      <c r="B6" t="s">
        <v>89</v>
      </c>
      <c r="E6" t="s">
        <v>29</v>
      </c>
      <c r="H6" t="s">
        <v>89</v>
      </c>
      <c r="K6" t="s">
        <v>89</v>
      </c>
    </row>
    <row r="7" spans="1:12" x14ac:dyDescent="0.1">
      <c r="A7" t="s">
        <v>30</v>
      </c>
      <c r="B7" t="s">
        <v>56</v>
      </c>
      <c r="C7" s="6">
        <v>0.44444444444444442</v>
      </c>
      <c r="D7" t="s">
        <v>30</v>
      </c>
      <c r="E7" t="s">
        <v>56</v>
      </c>
      <c r="F7" s="6">
        <v>0.44444444444444442</v>
      </c>
      <c r="G7" t="s">
        <v>30</v>
      </c>
      <c r="H7" t="s">
        <v>28</v>
      </c>
      <c r="I7" s="6">
        <v>0.44791666666666669</v>
      </c>
      <c r="J7" t="s">
        <v>30</v>
      </c>
      <c r="K7" t="s">
        <v>28</v>
      </c>
      <c r="L7" s="6">
        <v>0.44791666666666669</v>
      </c>
    </row>
    <row r="8" spans="1:12" x14ac:dyDescent="0.1">
      <c r="B8" t="s">
        <v>117</v>
      </c>
      <c r="E8" t="s">
        <v>142</v>
      </c>
      <c r="H8" t="s">
        <v>117</v>
      </c>
      <c r="K8" t="s">
        <v>29</v>
      </c>
    </row>
    <row r="9" spans="1:12" x14ac:dyDescent="0.1">
      <c r="A9" t="s">
        <v>32</v>
      </c>
      <c r="B9" t="s">
        <v>25</v>
      </c>
      <c r="C9" s="6">
        <v>0.46527777777777779</v>
      </c>
      <c r="D9" t="s">
        <v>32</v>
      </c>
      <c r="E9" t="s">
        <v>25</v>
      </c>
      <c r="F9" s="6">
        <v>0.46527777777777779</v>
      </c>
      <c r="G9" t="s">
        <v>32</v>
      </c>
      <c r="H9" t="s">
        <v>56</v>
      </c>
      <c r="I9" s="6">
        <v>0.46875</v>
      </c>
      <c r="J9" t="s">
        <v>32</v>
      </c>
      <c r="K9" t="s">
        <v>56</v>
      </c>
      <c r="L9" s="6">
        <v>0.46875</v>
      </c>
    </row>
    <row r="10" spans="1:12" x14ac:dyDescent="0.1">
      <c r="B10" t="s">
        <v>84</v>
      </c>
      <c r="E10" t="s">
        <v>122</v>
      </c>
      <c r="H10" t="s">
        <v>75</v>
      </c>
      <c r="K10" t="s">
        <v>90</v>
      </c>
    </row>
    <row r="11" spans="1:12" x14ac:dyDescent="0.1">
      <c r="A11" t="s">
        <v>34</v>
      </c>
      <c r="B11" t="s">
        <v>25</v>
      </c>
      <c r="C11" s="6">
        <v>0.4861111111111111</v>
      </c>
      <c r="D11" t="s">
        <v>34</v>
      </c>
      <c r="E11" t="s">
        <v>25</v>
      </c>
      <c r="F11" s="6">
        <v>0.4861111111111111</v>
      </c>
      <c r="G11" t="s">
        <v>34</v>
      </c>
      <c r="H11" t="s">
        <v>25</v>
      </c>
      <c r="I11" s="6">
        <v>0.48958333333333331</v>
      </c>
      <c r="J11" t="s">
        <v>34</v>
      </c>
      <c r="K11" t="s">
        <v>25</v>
      </c>
      <c r="L11" s="6">
        <v>0.48958333333333331</v>
      </c>
    </row>
    <row r="12" spans="1:12" x14ac:dyDescent="0.1">
      <c r="B12" t="s">
        <v>117</v>
      </c>
      <c r="E12" t="s">
        <v>143</v>
      </c>
      <c r="H12" t="s">
        <v>108</v>
      </c>
      <c r="K12" t="s">
        <v>75</v>
      </c>
    </row>
    <row r="13" spans="1:12" x14ac:dyDescent="0.1">
      <c r="A13" t="s">
        <v>35</v>
      </c>
      <c r="B13" t="s">
        <v>166</v>
      </c>
      <c r="C13" s="6">
        <v>0.61805555555555558</v>
      </c>
      <c r="D13" t="s">
        <v>35</v>
      </c>
      <c r="E13" t="s">
        <v>144</v>
      </c>
      <c r="F13" s="6">
        <v>0.61805555555555558</v>
      </c>
      <c r="G13" t="s">
        <v>35</v>
      </c>
      <c r="H13" t="s">
        <v>118</v>
      </c>
      <c r="I13" s="6">
        <v>0.60763888888888884</v>
      </c>
      <c r="J13" t="s">
        <v>35</v>
      </c>
      <c r="K13" t="s">
        <v>91</v>
      </c>
      <c r="L13" s="6">
        <v>0.60763888888888884</v>
      </c>
    </row>
    <row r="14" spans="1:12" x14ac:dyDescent="0.1">
      <c r="B14" t="s">
        <v>71</v>
      </c>
      <c r="E14" t="s">
        <v>71</v>
      </c>
      <c r="H14" t="s">
        <v>36</v>
      </c>
      <c r="K14" t="s">
        <v>44</v>
      </c>
    </row>
    <row r="15" spans="1:12" x14ac:dyDescent="0.1">
      <c r="B15" t="s">
        <v>167</v>
      </c>
      <c r="E15" t="s">
        <v>78</v>
      </c>
      <c r="H15" t="s">
        <v>78</v>
      </c>
      <c r="K15" t="s">
        <v>78</v>
      </c>
    </row>
    <row r="16" spans="1:12" x14ac:dyDescent="0.1">
      <c r="A16" t="s">
        <v>38</v>
      </c>
      <c r="B16" t="s">
        <v>168</v>
      </c>
      <c r="C16" s="6">
        <v>0.64236111111111116</v>
      </c>
      <c r="D16" t="s">
        <v>38</v>
      </c>
      <c r="E16" t="s">
        <v>145</v>
      </c>
      <c r="F16" s="6">
        <v>0.64236111111111116</v>
      </c>
      <c r="G16" t="s">
        <v>38</v>
      </c>
      <c r="H16" t="s">
        <v>119</v>
      </c>
      <c r="I16" s="6">
        <v>0.63194444444444442</v>
      </c>
      <c r="J16" t="s">
        <v>38</v>
      </c>
      <c r="K16" t="s">
        <v>92</v>
      </c>
      <c r="L16" s="6">
        <v>0.63194444444444442</v>
      </c>
    </row>
    <row r="17" spans="1:12" x14ac:dyDescent="0.1">
      <c r="B17" t="s">
        <v>51</v>
      </c>
      <c r="E17" t="s">
        <v>64</v>
      </c>
      <c r="H17" t="s">
        <v>44</v>
      </c>
      <c r="K17" t="s">
        <v>71</v>
      </c>
    </row>
    <row r="18" spans="1:12" x14ac:dyDescent="0.1">
      <c r="B18" t="s">
        <v>169</v>
      </c>
      <c r="E18" t="s">
        <v>117</v>
      </c>
      <c r="H18" t="s">
        <v>120</v>
      </c>
      <c r="K18" t="s">
        <v>83</v>
      </c>
    </row>
    <row r="19" spans="1:12" x14ac:dyDescent="0.1">
      <c r="A19" t="s">
        <v>40</v>
      </c>
      <c r="B19" t="s">
        <v>170</v>
      </c>
      <c r="C19" s="6">
        <v>0.66666666666666663</v>
      </c>
      <c r="D19" t="s">
        <v>40</v>
      </c>
      <c r="E19" t="s">
        <v>146</v>
      </c>
      <c r="F19" s="6">
        <v>0.66666666666666663</v>
      </c>
      <c r="G19" t="s">
        <v>40</v>
      </c>
      <c r="H19" t="s">
        <v>121</v>
      </c>
      <c r="I19" s="6">
        <v>0.65625</v>
      </c>
      <c r="J19" s="42" t="s">
        <v>40</v>
      </c>
      <c r="K19" s="42" t="s">
        <v>93</v>
      </c>
      <c r="L19" s="43">
        <v>0.65625</v>
      </c>
    </row>
    <row r="20" spans="1:12" x14ac:dyDescent="0.1">
      <c r="B20" t="s">
        <v>44</v>
      </c>
      <c r="E20" t="s">
        <v>44</v>
      </c>
      <c r="H20" t="s">
        <v>51</v>
      </c>
      <c r="J20" s="42"/>
      <c r="K20" s="42" t="s">
        <v>94</v>
      </c>
      <c r="L20" s="42"/>
    </row>
    <row r="21" spans="1:12" x14ac:dyDescent="0.1">
      <c r="B21" t="s">
        <v>85</v>
      </c>
      <c r="E21" t="s">
        <v>111</v>
      </c>
      <c r="H21" t="s">
        <v>78</v>
      </c>
      <c r="J21" s="42"/>
      <c r="K21" s="42" t="s">
        <v>95</v>
      </c>
      <c r="L21" s="42"/>
    </row>
    <row r="22" spans="1:12" x14ac:dyDescent="0.1">
      <c r="A22" t="s">
        <v>42</v>
      </c>
      <c r="B22" t="s">
        <v>36</v>
      </c>
      <c r="C22" s="6">
        <v>0.69097222222222221</v>
      </c>
      <c r="D22" t="s">
        <v>42</v>
      </c>
      <c r="E22" t="s">
        <v>36</v>
      </c>
      <c r="F22" s="6">
        <v>0.69097222222222221</v>
      </c>
      <c r="G22" t="s">
        <v>42</v>
      </c>
      <c r="H22" t="s">
        <v>36</v>
      </c>
      <c r="I22" s="6">
        <v>0.68402777777777779</v>
      </c>
      <c r="J22" s="42"/>
      <c r="K22" s="42" t="s">
        <v>51</v>
      </c>
      <c r="L22" s="42"/>
    </row>
    <row r="23" spans="1:12" x14ac:dyDescent="0.1">
      <c r="B23" t="s">
        <v>113</v>
      </c>
      <c r="E23" t="s">
        <v>85</v>
      </c>
      <c r="H23" t="s">
        <v>83</v>
      </c>
      <c r="J23" s="42"/>
      <c r="K23" s="42" t="s">
        <v>96</v>
      </c>
      <c r="L23" s="42"/>
    </row>
    <row r="24" spans="1:12" x14ac:dyDescent="0.1">
      <c r="A24" t="s">
        <v>46</v>
      </c>
      <c r="B24" t="s">
        <v>36</v>
      </c>
      <c r="C24" s="6">
        <v>0.71527777777777779</v>
      </c>
      <c r="D24" t="s">
        <v>46</v>
      </c>
      <c r="E24" t="s">
        <v>36</v>
      </c>
      <c r="F24" s="6">
        <v>0.71527777777777779</v>
      </c>
      <c r="G24" t="s">
        <v>46</v>
      </c>
      <c r="H24" t="s">
        <v>36</v>
      </c>
      <c r="I24" s="6">
        <v>0.70833333333333337</v>
      </c>
      <c r="J24" t="s">
        <v>42</v>
      </c>
      <c r="K24" t="s">
        <v>97</v>
      </c>
      <c r="L24" s="6">
        <v>0.68402777777777779</v>
      </c>
    </row>
    <row r="25" spans="1:12" x14ac:dyDescent="0.1">
      <c r="B25" t="s">
        <v>171</v>
      </c>
      <c r="E25" t="s">
        <v>147</v>
      </c>
      <c r="H25" t="s">
        <v>111</v>
      </c>
      <c r="K25" t="s">
        <v>44</v>
      </c>
    </row>
    <row r="26" spans="1:12" x14ac:dyDescent="0.1">
      <c r="A26" t="s">
        <v>49</v>
      </c>
      <c r="B26" t="s">
        <v>25</v>
      </c>
      <c r="C26" s="6">
        <v>0.73611111111111116</v>
      </c>
      <c r="D26" t="s">
        <v>49</v>
      </c>
      <c r="E26" t="s">
        <v>36</v>
      </c>
      <c r="F26" s="6">
        <v>0.73611111111111116</v>
      </c>
      <c r="G26" t="s">
        <v>49</v>
      </c>
      <c r="H26" t="s">
        <v>25</v>
      </c>
      <c r="I26" s="6">
        <v>0.72916666666666663</v>
      </c>
      <c r="K26" t="s">
        <v>98</v>
      </c>
    </row>
    <row r="27" spans="1:12" x14ac:dyDescent="0.1">
      <c r="B27" t="s">
        <v>29</v>
      </c>
      <c r="E27" t="s">
        <v>98</v>
      </c>
      <c r="H27" t="s">
        <v>29</v>
      </c>
      <c r="J27" t="s">
        <v>46</v>
      </c>
      <c r="K27" t="s">
        <v>25</v>
      </c>
      <c r="L27" s="6">
        <v>0.70833333333333337</v>
      </c>
    </row>
    <row r="28" spans="1:12" x14ac:dyDescent="0.1">
      <c r="A28" t="s">
        <v>53</v>
      </c>
      <c r="B28" t="s">
        <v>25</v>
      </c>
      <c r="C28" s="6">
        <v>0.75694444444444442</v>
      </c>
      <c r="D28" t="s">
        <v>53</v>
      </c>
      <c r="E28" t="s">
        <v>25</v>
      </c>
      <c r="F28" s="6">
        <v>0.75694444444444442</v>
      </c>
      <c r="G28" t="s">
        <v>53</v>
      </c>
      <c r="H28" t="s">
        <v>25</v>
      </c>
      <c r="I28" s="6">
        <v>0.75347222222222221</v>
      </c>
      <c r="K28" t="s">
        <v>89</v>
      </c>
    </row>
    <row r="29" spans="1:12" x14ac:dyDescent="0.1">
      <c r="B29" t="s">
        <v>122</v>
      </c>
      <c r="E29" t="s">
        <v>89</v>
      </c>
      <c r="H29" t="s">
        <v>122</v>
      </c>
      <c r="J29" t="s">
        <v>49</v>
      </c>
      <c r="K29" t="s">
        <v>36</v>
      </c>
      <c r="L29" s="6">
        <v>0.72916666666666663</v>
      </c>
    </row>
    <row r="30" spans="1:12" x14ac:dyDescent="0.1">
      <c r="K30" t="s">
        <v>99</v>
      </c>
    </row>
    <row r="31" spans="1:12" x14ac:dyDescent="0.1">
      <c r="J31" t="s">
        <v>53</v>
      </c>
      <c r="K31" t="s">
        <v>36</v>
      </c>
      <c r="L31" s="6">
        <v>0.75347222222222221</v>
      </c>
    </row>
    <row r="32" spans="1:12" x14ac:dyDescent="0.1">
      <c r="K32" t="s">
        <v>85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979A-FF15-4C94-ACD8-669E7B5A0E10}">
  <sheetPr codeName="Sheet27"/>
  <dimension ref="A1:L29"/>
  <sheetViews>
    <sheetView workbookViewId="0"/>
  </sheetViews>
  <sheetFormatPr defaultRowHeight="13.5" x14ac:dyDescent="0.1"/>
  <cols>
    <col min="1" max="1" width="11.1796875" bestFit="1" customWidth="1"/>
    <col min="2" max="2" width="20.1796875" bestFit="1" customWidth="1"/>
    <col min="3" max="3" width="9.26953125" bestFit="1" customWidth="1"/>
    <col min="4" max="4" width="11.1796875" bestFit="1" customWidth="1"/>
    <col min="5" max="5" width="18.81640625" bestFit="1" customWidth="1"/>
    <col min="6" max="6" width="9.26953125" bestFit="1" customWidth="1"/>
    <col min="7" max="7" width="11.1796875" bestFit="1" customWidth="1"/>
    <col min="8" max="8" width="18.1328125" bestFit="1" customWidth="1"/>
    <col min="9" max="9" width="9.26953125" bestFit="1" customWidth="1"/>
    <col min="10" max="10" width="11.1796875" bestFit="1" customWidth="1"/>
    <col min="11" max="11" width="29.7265625" bestFit="1" customWidth="1"/>
    <col min="12" max="12" width="9.26953125" bestFit="1" customWidth="1"/>
  </cols>
  <sheetData>
    <row r="1" spans="1:12" x14ac:dyDescent="0.1">
      <c r="A1" t="s">
        <v>157</v>
      </c>
      <c r="B1" s="1"/>
      <c r="D1" t="s">
        <v>133</v>
      </c>
      <c r="E1" s="1"/>
      <c r="G1" t="s">
        <v>106</v>
      </c>
      <c r="H1" s="1"/>
      <c r="J1" t="s">
        <v>74</v>
      </c>
      <c r="K1" s="1"/>
    </row>
    <row r="2" spans="1:12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</row>
    <row r="3" spans="1:12" x14ac:dyDescent="0.1">
      <c r="A3" t="s">
        <v>24</v>
      </c>
      <c r="B3" t="s">
        <v>28</v>
      </c>
      <c r="C3" s="6">
        <v>0.40972222222222221</v>
      </c>
      <c r="D3" t="s">
        <v>24</v>
      </c>
      <c r="E3" t="s">
        <v>28</v>
      </c>
      <c r="F3" s="6">
        <v>0.40972222222222221</v>
      </c>
      <c r="G3" t="s">
        <v>24</v>
      </c>
      <c r="H3" t="s">
        <v>28</v>
      </c>
      <c r="I3" s="6">
        <v>0.40972222222222221</v>
      </c>
      <c r="J3" t="s">
        <v>24</v>
      </c>
      <c r="K3" t="s">
        <v>28</v>
      </c>
      <c r="L3" s="6">
        <v>0.40972222222222221</v>
      </c>
    </row>
    <row r="4" spans="1:12" x14ac:dyDescent="0.1">
      <c r="B4" t="s">
        <v>76</v>
      </c>
      <c r="E4" t="s">
        <v>107</v>
      </c>
      <c r="H4" t="s">
        <v>29</v>
      </c>
      <c r="K4" t="s">
        <v>75</v>
      </c>
    </row>
    <row r="5" spans="1:12" x14ac:dyDescent="0.1">
      <c r="A5" t="s">
        <v>27</v>
      </c>
      <c r="B5" t="s">
        <v>56</v>
      </c>
      <c r="C5" s="6">
        <v>0.43055555555555558</v>
      </c>
      <c r="D5" t="s">
        <v>27</v>
      </c>
      <c r="E5" t="s">
        <v>56</v>
      </c>
      <c r="F5" s="6">
        <v>0.43055555555555558</v>
      </c>
      <c r="G5" t="s">
        <v>27</v>
      </c>
      <c r="H5" t="s">
        <v>28</v>
      </c>
      <c r="I5" s="6">
        <v>0.43402777777777779</v>
      </c>
      <c r="J5" t="s">
        <v>27</v>
      </c>
      <c r="K5" t="s">
        <v>56</v>
      </c>
      <c r="L5" s="6">
        <v>0.43402777777777779</v>
      </c>
    </row>
    <row r="6" spans="1:12" x14ac:dyDescent="0.1">
      <c r="B6" t="s">
        <v>89</v>
      </c>
      <c r="E6" t="s">
        <v>29</v>
      </c>
      <c r="H6" t="s">
        <v>89</v>
      </c>
      <c r="K6" t="s">
        <v>76</v>
      </c>
    </row>
    <row r="7" spans="1:12" x14ac:dyDescent="0.1">
      <c r="A7" t="s">
        <v>30</v>
      </c>
      <c r="B7" t="s">
        <v>36</v>
      </c>
      <c r="C7" s="6">
        <v>0.4513888888888889</v>
      </c>
      <c r="D7" t="s">
        <v>30</v>
      </c>
      <c r="E7" t="s">
        <v>56</v>
      </c>
      <c r="F7" s="6">
        <v>0.4513888888888889</v>
      </c>
      <c r="G7" t="s">
        <v>30</v>
      </c>
      <c r="H7" t="s">
        <v>56</v>
      </c>
      <c r="I7" s="6">
        <v>0.4548611111111111</v>
      </c>
      <c r="J7" t="s">
        <v>30</v>
      </c>
      <c r="K7" t="s">
        <v>56</v>
      </c>
      <c r="L7" s="6">
        <v>0.4548611111111111</v>
      </c>
    </row>
    <row r="8" spans="1:12" x14ac:dyDescent="0.1">
      <c r="B8" t="s">
        <v>83</v>
      </c>
      <c r="E8" t="s">
        <v>75</v>
      </c>
      <c r="H8" t="s">
        <v>107</v>
      </c>
      <c r="K8" t="s">
        <v>29</v>
      </c>
    </row>
    <row r="9" spans="1:12" x14ac:dyDescent="0.1">
      <c r="A9" t="s">
        <v>32</v>
      </c>
      <c r="B9" t="s">
        <v>25</v>
      </c>
      <c r="C9" s="6">
        <v>0.47222222222222221</v>
      </c>
      <c r="D9" t="s">
        <v>32</v>
      </c>
      <c r="E9" t="s">
        <v>25</v>
      </c>
      <c r="F9" s="6">
        <v>0.47222222222222221</v>
      </c>
      <c r="G9" t="s">
        <v>32</v>
      </c>
      <c r="H9" t="s">
        <v>25</v>
      </c>
      <c r="I9" s="6">
        <v>0.47569444444444442</v>
      </c>
      <c r="J9" t="s">
        <v>32</v>
      </c>
      <c r="K9" t="s">
        <v>25</v>
      </c>
      <c r="L9" s="6">
        <v>0.47569444444444442</v>
      </c>
    </row>
    <row r="10" spans="1:12" x14ac:dyDescent="0.1">
      <c r="B10" t="s">
        <v>29</v>
      </c>
      <c r="E10" t="s">
        <v>134</v>
      </c>
      <c r="H10" t="s">
        <v>108</v>
      </c>
      <c r="K10" t="s">
        <v>77</v>
      </c>
    </row>
    <row r="11" spans="1:12" x14ac:dyDescent="0.1">
      <c r="A11" t="s">
        <v>34</v>
      </c>
      <c r="B11" t="s">
        <v>25</v>
      </c>
      <c r="C11" s="6">
        <v>0.49305555555555558</v>
      </c>
      <c r="D11" t="s">
        <v>34</v>
      </c>
      <c r="E11" t="s">
        <v>36</v>
      </c>
      <c r="F11" s="6">
        <v>0.49305555555555558</v>
      </c>
      <c r="G11" t="s">
        <v>34</v>
      </c>
      <c r="H11" t="s">
        <v>25</v>
      </c>
      <c r="I11" s="6">
        <v>0.49652777777777779</v>
      </c>
      <c r="J11" t="s">
        <v>34</v>
      </c>
      <c r="K11" t="s">
        <v>36</v>
      </c>
      <c r="L11" s="6">
        <v>0.49652777777777779</v>
      </c>
    </row>
    <row r="12" spans="1:12" x14ac:dyDescent="0.1">
      <c r="B12" t="s">
        <v>158</v>
      </c>
      <c r="E12" t="s">
        <v>135</v>
      </c>
      <c r="H12" t="s">
        <v>29</v>
      </c>
      <c r="K12" t="s">
        <v>78</v>
      </c>
    </row>
    <row r="13" spans="1:12" x14ac:dyDescent="0.1">
      <c r="A13" t="s">
        <v>35</v>
      </c>
      <c r="B13" t="s">
        <v>159</v>
      </c>
      <c r="C13" s="6">
        <v>0.625</v>
      </c>
      <c r="D13" t="s">
        <v>35</v>
      </c>
      <c r="E13" t="s">
        <v>136</v>
      </c>
      <c r="F13" s="6">
        <v>0.625</v>
      </c>
      <c r="G13" t="s">
        <v>35</v>
      </c>
      <c r="H13" t="s">
        <v>109</v>
      </c>
      <c r="I13" s="6">
        <v>0.625</v>
      </c>
      <c r="J13" t="s">
        <v>35</v>
      </c>
      <c r="K13" t="s">
        <v>79</v>
      </c>
      <c r="L13" s="6">
        <v>0.625</v>
      </c>
    </row>
    <row r="14" spans="1:12" x14ac:dyDescent="0.1">
      <c r="B14" t="s">
        <v>44</v>
      </c>
      <c r="E14" t="s">
        <v>44</v>
      </c>
      <c r="H14" t="s">
        <v>44</v>
      </c>
      <c r="K14" t="s">
        <v>71</v>
      </c>
    </row>
    <row r="15" spans="1:12" x14ac:dyDescent="0.1">
      <c r="B15" t="s">
        <v>78</v>
      </c>
      <c r="E15" t="s">
        <v>115</v>
      </c>
      <c r="H15" t="s">
        <v>85</v>
      </c>
      <c r="K15" t="s">
        <v>80</v>
      </c>
    </row>
    <row r="16" spans="1:12" x14ac:dyDescent="0.1">
      <c r="A16" t="s">
        <v>38</v>
      </c>
      <c r="B16" t="s">
        <v>160</v>
      </c>
      <c r="C16" s="6">
        <v>0.64930555555555558</v>
      </c>
      <c r="D16" t="s">
        <v>38</v>
      </c>
      <c r="E16" t="s">
        <v>137</v>
      </c>
      <c r="F16" s="6">
        <v>0.64930555555555558</v>
      </c>
      <c r="G16" t="s">
        <v>38</v>
      </c>
      <c r="H16" t="s">
        <v>110</v>
      </c>
      <c r="I16" s="6">
        <v>0.64930555555555558</v>
      </c>
      <c r="J16" t="s">
        <v>38</v>
      </c>
      <c r="K16" t="s">
        <v>81</v>
      </c>
      <c r="L16" s="6">
        <v>0.64930555555555558</v>
      </c>
    </row>
    <row r="17" spans="1:12" x14ac:dyDescent="0.1">
      <c r="B17" t="s">
        <v>71</v>
      </c>
      <c r="E17" t="s">
        <v>51</v>
      </c>
      <c r="H17" t="s">
        <v>71</v>
      </c>
      <c r="K17" t="s">
        <v>64</v>
      </c>
    </row>
    <row r="18" spans="1:12" x14ac:dyDescent="0.1">
      <c r="B18" t="s">
        <v>114</v>
      </c>
      <c r="E18" t="s">
        <v>138</v>
      </c>
      <c r="H18" t="s">
        <v>111</v>
      </c>
      <c r="K18" t="s">
        <v>75</v>
      </c>
    </row>
    <row r="19" spans="1:12" x14ac:dyDescent="0.1">
      <c r="A19" t="s">
        <v>40</v>
      </c>
      <c r="B19" t="s">
        <v>161</v>
      </c>
      <c r="C19" s="6">
        <v>0.67361111111111116</v>
      </c>
      <c r="D19" t="s">
        <v>40</v>
      </c>
      <c r="E19" t="s">
        <v>139</v>
      </c>
      <c r="F19" s="6">
        <v>0.67361111111111116</v>
      </c>
      <c r="G19" t="s">
        <v>40</v>
      </c>
      <c r="H19" t="s">
        <v>112</v>
      </c>
      <c r="I19" s="6">
        <v>0.67361111111111116</v>
      </c>
      <c r="J19" t="s">
        <v>40</v>
      </c>
      <c r="K19" t="s">
        <v>82</v>
      </c>
      <c r="L19" s="6">
        <v>0.67361111111111116</v>
      </c>
    </row>
    <row r="20" spans="1:12" x14ac:dyDescent="0.1">
      <c r="B20" t="s">
        <v>36</v>
      </c>
      <c r="E20" t="s">
        <v>36</v>
      </c>
      <c r="H20" t="s">
        <v>44</v>
      </c>
      <c r="K20" t="s">
        <v>44</v>
      </c>
    </row>
    <row r="21" spans="1:12" x14ac:dyDescent="0.1">
      <c r="B21" t="s">
        <v>162</v>
      </c>
      <c r="E21" t="s">
        <v>85</v>
      </c>
      <c r="H21" t="s">
        <v>111</v>
      </c>
      <c r="K21" t="s">
        <v>83</v>
      </c>
    </row>
    <row r="22" spans="1:12" x14ac:dyDescent="0.1">
      <c r="A22" t="s">
        <v>42</v>
      </c>
      <c r="B22" t="s">
        <v>163</v>
      </c>
      <c r="C22" s="6">
        <v>0.69791666666666663</v>
      </c>
      <c r="D22" t="s">
        <v>42</v>
      </c>
      <c r="E22" t="s">
        <v>87</v>
      </c>
      <c r="F22" s="6">
        <v>0.69791666666666663</v>
      </c>
      <c r="G22" t="s">
        <v>42</v>
      </c>
      <c r="H22" t="s">
        <v>36</v>
      </c>
      <c r="I22" s="6">
        <v>0.69791666666666663</v>
      </c>
      <c r="J22" t="s">
        <v>42</v>
      </c>
      <c r="K22" t="s">
        <v>25</v>
      </c>
      <c r="L22" s="6">
        <v>0.69791666666666663</v>
      </c>
    </row>
    <row r="23" spans="1:12" x14ac:dyDescent="0.1">
      <c r="B23" t="s">
        <v>164</v>
      </c>
      <c r="E23" t="s">
        <v>140</v>
      </c>
      <c r="H23" t="s">
        <v>113</v>
      </c>
      <c r="K23" t="s">
        <v>84</v>
      </c>
    </row>
    <row r="24" spans="1:12" x14ac:dyDescent="0.1">
      <c r="A24" t="s">
        <v>46</v>
      </c>
      <c r="B24" t="s">
        <v>36</v>
      </c>
      <c r="C24" s="6">
        <v>0.72222222222222221</v>
      </c>
      <c r="D24" t="s">
        <v>46</v>
      </c>
      <c r="E24" t="s">
        <v>25</v>
      </c>
      <c r="F24" s="6">
        <v>0.72222222222222221</v>
      </c>
      <c r="G24" t="s">
        <v>46</v>
      </c>
      <c r="H24" t="s">
        <v>36</v>
      </c>
      <c r="I24" s="6">
        <v>0.71875</v>
      </c>
      <c r="J24" t="s">
        <v>46</v>
      </c>
      <c r="K24" t="s">
        <v>36</v>
      </c>
      <c r="L24" s="6">
        <v>0.71875</v>
      </c>
    </row>
    <row r="25" spans="1:12" x14ac:dyDescent="0.1">
      <c r="B25" t="s">
        <v>78</v>
      </c>
      <c r="E25" t="s">
        <v>89</v>
      </c>
      <c r="H25" t="s">
        <v>114</v>
      </c>
      <c r="K25" t="s">
        <v>60</v>
      </c>
    </row>
    <row r="26" spans="1:12" x14ac:dyDescent="0.1">
      <c r="A26" t="s">
        <v>49</v>
      </c>
      <c r="B26" t="s">
        <v>25</v>
      </c>
      <c r="C26" s="6">
        <v>0.74305555555555558</v>
      </c>
      <c r="D26" t="s">
        <v>49</v>
      </c>
      <c r="E26" t="s">
        <v>36</v>
      </c>
      <c r="F26" s="6">
        <v>0.74305555555555558</v>
      </c>
      <c r="G26" t="s">
        <v>49</v>
      </c>
      <c r="H26" t="s">
        <v>36</v>
      </c>
      <c r="I26" s="6">
        <v>0.73958333333333337</v>
      </c>
      <c r="J26" t="s">
        <v>49</v>
      </c>
      <c r="K26" t="s">
        <v>25</v>
      </c>
      <c r="L26" s="6">
        <v>0.73958333333333337</v>
      </c>
    </row>
    <row r="27" spans="1:12" x14ac:dyDescent="0.1">
      <c r="B27" t="s">
        <v>76</v>
      </c>
      <c r="E27" t="s">
        <v>111</v>
      </c>
      <c r="H27" t="s">
        <v>115</v>
      </c>
      <c r="K27" t="s">
        <v>75</v>
      </c>
    </row>
    <row r="28" spans="1:12" x14ac:dyDescent="0.1">
      <c r="A28" t="s">
        <v>53</v>
      </c>
      <c r="B28" t="s">
        <v>25</v>
      </c>
      <c r="C28" s="6">
        <v>0.76388888888888884</v>
      </c>
      <c r="D28" t="s">
        <v>53</v>
      </c>
      <c r="E28" t="s">
        <v>25</v>
      </c>
      <c r="F28" s="6">
        <v>0.76388888888888884</v>
      </c>
      <c r="G28" t="s">
        <v>53</v>
      </c>
      <c r="H28" t="s">
        <v>25</v>
      </c>
      <c r="I28" s="6">
        <v>0.76041666666666663</v>
      </c>
      <c r="J28" t="s">
        <v>53</v>
      </c>
      <c r="K28" t="s">
        <v>36</v>
      </c>
      <c r="L28" s="6">
        <v>0.76041666666666663</v>
      </c>
    </row>
    <row r="29" spans="1:12" x14ac:dyDescent="0.1">
      <c r="B29" t="s">
        <v>33</v>
      </c>
      <c r="E29" t="s">
        <v>122</v>
      </c>
      <c r="H29" t="s">
        <v>89</v>
      </c>
      <c r="K29" t="s">
        <v>85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DF72-51B8-45E2-A61C-419E4F6C2634}">
  <sheetPr codeName="Sheet28"/>
  <dimension ref="A1:R31"/>
  <sheetViews>
    <sheetView workbookViewId="0"/>
  </sheetViews>
  <sheetFormatPr defaultRowHeight="13.5" x14ac:dyDescent="0.1"/>
  <cols>
    <col min="1" max="1" width="11.1796875" bestFit="1" customWidth="1"/>
    <col min="2" max="2" width="41.7265625" bestFit="1" customWidth="1"/>
    <col min="3" max="3" width="9.26953125" bestFit="1" customWidth="1"/>
    <col min="4" max="4" width="11.1796875" bestFit="1" customWidth="1"/>
    <col min="5" max="5" width="41.7265625" bestFit="1" customWidth="1"/>
    <col min="6" max="6" width="9.26953125" bestFit="1" customWidth="1"/>
    <col min="7" max="7" width="11.1796875" bestFit="1" customWidth="1"/>
    <col min="8" max="8" width="19.36328125" bestFit="1" customWidth="1"/>
    <col min="9" max="9" width="9.26953125" bestFit="1" customWidth="1"/>
    <col min="10" max="10" width="11.1796875" bestFit="1" customWidth="1"/>
    <col min="11" max="11" width="18.1328125" bestFit="1" customWidth="1"/>
    <col min="12" max="12" width="9.26953125" bestFit="1" customWidth="1"/>
    <col min="13" max="13" width="11.1796875" bestFit="1" customWidth="1"/>
    <col min="14" max="14" width="23.58984375" bestFit="1" customWidth="1"/>
    <col min="15" max="15" width="9.26953125" bestFit="1" customWidth="1"/>
    <col min="16" max="16" width="11.1796875" bestFit="1" customWidth="1"/>
    <col min="17" max="17" width="16.76953125" bestFit="1" customWidth="1"/>
    <col min="18" max="18" width="9.26953125" bestFit="1" customWidth="1"/>
  </cols>
  <sheetData>
    <row r="1" spans="1:18" x14ac:dyDescent="0.1">
      <c r="A1" t="s">
        <v>148</v>
      </c>
      <c r="B1" s="1"/>
      <c r="D1" t="s">
        <v>123</v>
      </c>
      <c r="E1" s="1"/>
      <c r="G1" t="s">
        <v>100</v>
      </c>
      <c r="H1" s="1"/>
      <c r="J1" t="s">
        <v>67</v>
      </c>
      <c r="K1" s="1"/>
      <c r="M1" t="s">
        <v>54</v>
      </c>
      <c r="N1" s="1"/>
      <c r="P1" t="s">
        <v>20</v>
      </c>
      <c r="Q1" s="1"/>
    </row>
    <row r="2" spans="1:18" x14ac:dyDescent="0.1">
      <c r="A2" t="s">
        <v>21</v>
      </c>
      <c r="B2" t="s">
        <v>22</v>
      </c>
      <c r="C2" t="s">
        <v>23</v>
      </c>
      <c r="D2" t="s">
        <v>21</v>
      </c>
      <c r="E2" t="s">
        <v>22</v>
      </c>
      <c r="F2" t="s">
        <v>23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</row>
    <row r="3" spans="1:18" x14ac:dyDescent="0.1">
      <c r="A3" t="s">
        <v>24</v>
      </c>
      <c r="B3" t="s">
        <v>28</v>
      </c>
      <c r="C3" s="6">
        <v>0.41666666666666669</v>
      </c>
      <c r="D3" t="s">
        <v>24</v>
      </c>
      <c r="E3" t="s">
        <v>25</v>
      </c>
      <c r="F3" s="6">
        <v>0.41666666666666669</v>
      </c>
      <c r="G3" t="s">
        <v>24</v>
      </c>
      <c r="H3" t="s">
        <v>25</v>
      </c>
      <c r="I3" s="6">
        <v>0.41666666666666669</v>
      </c>
      <c r="J3" t="s">
        <v>24</v>
      </c>
      <c r="K3" t="s">
        <v>25</v>
      </c>
      <c r="L3" s="6">
        <v>0.41666666666666669</v>
      </c>
      <c r="M3" t="s">
        <v>24</v>
      </c>
      <c r="N3" t="s">
        <v>28</v>
      </c>
      <c r="O3" s="6">
        <v>0.40972222222222221</v>
      </c>
      <c r="P3" t="s">
        <v>24</v>
      </c>
      <c r="Q3" t="s">
        <v>25</v>
      </c>
      <c r="R3" s="6">
        <v>0.40972222222222221</v>
      </c>
    </row>
    <row r="4" spans="1:18" x14ac:dyDescent="0.1">
      <c r="B4" t="s">
        <v>31</v>
      </c>
      <c r="E4" t="s">
        <v>124</v>
      </c>
      <c r="H4" t="s">
        <v>31</v>
      </c>
      <c r="K4" t="s">
        <v>26</v>
      </c>
      <c r="N4" t="s">
        <v>31</v>
      </c>
      <c r="Q4" t="s">
        <v>26</v>
      </c>
    </row>
    <row r="5" spans="1:18" x14ac:dyDescent="0.1">
      <c r="A5" t="s">
        <v>27</v>
      </c>
      <c r="B5" t="s">
        <v>28</v>
      </c>
      <c r="C5" s="6">
        <v>0.4375</v>
      </c>
      <c r="D5" t="s">
        <v>27</v>
      </c>
      <c r="E5" t="s">
        <v>28</v>
      </c>
      <c r="F5" s="6">
        <v>0.4375</v>
      </c>
      <c r="G5" t="s">
        <v>27</v>
      </c>
      <c r="H5" t="s">
        <v>28</v>
      </c>
      <c r="I5" s="6">
        <v>0.4375</v>
      </c>
      <c r="J5" t="s">
        <v>27</v>
      </c>
      <c r="K5" t="s">
        <v>28</v>
      </c>
      <c r="L5" s="6">
        <v>0.4375</v>
      </c>
      <c r="M5" t="s">
        <v>27</v>
      </c>
      <c r="N5" t="s">
        <v>28</v>
      </c>
      <c r="O5" s="6">
        <v>0.43055555555555558</v>
      </c>
      <c r="P5" t="s">
        <v>27</v>
      </c>
      <c r="Q5" t="s">
        <v>28</v>
      </c>
      <c r="R5" s="6">
        <v>0.43055555555555558</v>
      </c>
    </row>
    <row r="6" spans="1:18" x14ac:dyDescent="0.1">
      <c r="B6" t="s">
        <v>65</v>
      </c>
      <c r="E6" t="s">
        <v>57</v>
      </c>
      <c r="H6" t="s">
        <v>101</v>
      </c>
      <c r="K6" t="s">
        <v>33</v>
      </c>
      <c r="N6" t="s">
        <v>33</v>
      </c>
      <c r="Q6" t="s">
        <v>29</v>
      </c>
    </row>
    <row r="7" spans="1:18" x14ac:dyDescent="0.1">
      <c r="A7" t="s">
        <v>30</v>
      </c>
      <c r="B7" t="s">
        <v>25</v>
      </c>
      <c r="C7" s="6">
        <v>0.45833333333333331</v>
      </c>
      <c r="D7" t="s">
        <v>30</v>
      </c>
      <c r="E7" t="s">
        <v>25</v>
      </c>
      <c r="F7" s="6">
        <v>0.45833333333333331</v>
      </c>
      <c r="G7" t="s">
        <v>30</v>
      </c>
      <c r="H7" t="s">
        <v>28</v>
      </c>
      <c r="I7" s="6">
        <v>0.45833333333333331</v>
      </c>
      <c r="J7" t="s">
        <v>30</v>
      </c>
      <c r="K7" t="s">
        <v>25</v>
      </c>
      <c r="L7" s="6">
        <v>0.45833333333333331</v>
      </c>
      <c r="M7" t="s">
        <v>30</v>
      </c>
      <c r="N7" t="s">
        <v>25</v>
      </c>
      <c r="O7" s="6">
        <v>0.4513888888888889</v>
      </c>
      <c r="P7" t="s">
        <v>30</v>
      </c>
      <c r="Q7" t="s">
        <v>25</v>
      </c>
      <c r="R7" s="6">
        <v>0.4513888888888889</v>
      </c>
    </row>
    <row r="8" spans="1:18" x14ac:dyDescent="0.1">
      <c r="B8" t="s">
        <v>31</v>
      </c>
      <c r="E8" t="s">
        <v>31</v>
      </c>
      <c r="H8" t="s">
        <v>65</v>
      </c>
      <c r="K8" t="s">
        <v>31</v>
      </c>
      <c r="N8" t="s">
        <v>55</v>
      </c>
      <c r="Q8" t="s">
        <v>31</v>
      </c>
    </row>
    <row r="9" spans="1:18" x14ac:dyDescent="0.1">
      <c r="A9" t="s">
        <v>32</v>
      </c>
      <c r="B9" t="s">
        <v>25</v>
      </c>
      <c r="C9" s="6">
        <v>0.47916666666666669</v>
      </c>
      <c r="D9" t="s">
        <v>32</v>
      </c>
      <c r="E9" t="s">
        <v>25</v>
      </c>
      <c r="F9" s="6">
        <v>0.47916666666666669</v>
      </c>
      <c r="G9" t="s">
        <v>32</v>
      </c>
      <c r="H9" t="s">
        <v>25</v>
      </c>
      <c r="I9" s="6">
        <v>0.47916666666666669</v>
      </c>
      <c r="J9" t="s">
        <v>32</v>
      </c>
      <c r="K9" t="s">
        <v>25</v>
      </c>
      <c r="L9" s="6">
        <v>0.47916666666666669</v>
      </c>
      <c r="M9" t="s">
        <v>32</v>
      </c>
      <c r="N9" t="s">
        <v>25</v>
      </c>
      <c r="O9" s="6">
        <v>0.47222222222222221</v>
      </c>
      <c r="P9" t="s">
        <v>32</v>
      </c>
      <c r="Q9" t="s">
        <v>25</v>
      </c>
      <c r="R9" s="6">
        <v>0.47222222222222221</v>
      </c>
    </row>
    <row r="10" spans="1:18" x14ac:dyDescent="0.1">
      <c r="B10" t="s">
        <v>29</v>
      </c>
      <c r="E10" t="s">
        <v>33</v>
      </c>
      <c r="H10" t="s">
        <v>55</v>
      </c>
      <c r="K10" t="s">
        <v>29</v>
      </c>
      <c r="N10" t="s">
        <v>31</v>
      </c>
      <c r="Q10" t="s">
        <v>33</v>
      </c>
    </row>
    <row r="11" spans="1:18" x14ac:dyDescent="0.1">
      <c r="A11" t="s">
        <v>34</v>
      </c>
      <c r="B11" t="s">
        <v>56</v>
      </c>
      <c r="C11" s="6">
        <v>0.51388888888888884</v>
      </c>
      <c r="D11" t="s">
        <v>34</v>
      </c>
      <c r="E11" t="s">
        <v>56</v>
      </c>
      <c r="F11" s="6">
        <v>0.51388888888888884</v>
      </c>
      <c r="G11" t="s">
        <v>34</v>
      </c>
      <c r="H11" t="s">
        <v>56</v>
      </c>
      <c r="I11" s="6">
        <v>0.51388888888888884</v>
      </c>
      <c r="J11" t="s">
        <v>34</v>
      </c>
      <c r="K11" t="s">
        <v>56</v>
      </c>
      <c r="L11" s="6">
        <v>0.51388888888888884</v>
      </c>
      <c r="M11" t="s">
        <v>34</v>
      </c>
      <c r="N11" t="s">
        <v>56</v>
      </c>
      <c r="O11" s="6">
        <v>0.50694444444444442</v>
      </c>
      <c r="P11" t="s">
        <v>34</v>
      </c>
      <c r="Q11" t="s">
        <v>25</v>
      </c>
      <c r="R11" s="6">
        <v>0.50694444444444442</v>
      </c>
    </row>
    <row r="12" spans="1:18" x14ac:dyDescent="0.1">
      <c r="B12" t="s">
        <v>57</v>
      </c>
      <c r="E12" t="s">
        <v>29</v>
      </c>
      <c r="H12" t="s">
        <v>31</v>
      </c>
      <c r="K12" t="s">
        <v>65</v>
      </c>
      <c r="N12" t="s">
        <v>57</v>
      </c>
      <c r="Q12" t="s">
        <v>29</v>
      </c>
    </row>
    <row r="13" spans="1:18" x14ac:dyDescent="0.1">
      <c r="A13" t="s">
        <v>35</v>
      </c>
      <c r="B13" t="s">
        <v>25</v>
      </c>
      <c r="C13" s="6">
        <v>0.53472222222222221</v>
      </c>
      <c r="D13" t="s">
        <v>35</v>
      </c>
      <c r="E13" t="s">
        <v>36</v>
      </c>
      <c r="F13" s="6">
        <v>0.53472222222222221</v>
      </c>
      <c r="G13" t="s">
        <v>35</v>
      </c>
      <c r="H13" t="s">
        <v>25</v>
      </c>
      <c r="I13" s="6">
        <v>0.53472222222222221</v>
      </c>
      <c r="J13" t="s">
        <v>35</v>
      </c>
      <c r="K13" t="s">
        <v>36</v>
      </c>
      <c r="L13" s="6">
        <v>0.53472222222222221</v>
      </c>
      <c r="M13" t="s">
        <v>35</v>
      </c>
      <c r="N13" t="s">
        <v>25</v>
      </c>
      <c r="O13" s="6">
        <v>0.52777777777777779</v>
      </c>
      <c r="P13" t="s">
        <v>35</v>
      </c>
      <c r="Q13" t="s">
        <v>36</v>
      </c>
      <c r="R13" s="6">
        <v>0.52777777777777779</v>
      </c>
    </row>
    <row r="14" spans="1:18" x14ac:dyDescent="0.1">
      <c r="B14" t="s">
        <v>149</v>
      </c>
      <c r="E14" t="s">
        <v>41</v>
      </c>
      <c r="H14" t="s">
        <v>57</v>
      </c>
      <c r="K14" t="s">
        <v>66</v>
      </c>
      <c r="N14" t="s">
        <v>29</v>
      </c>
      <c r="Q14" t="s">
        <v>37</v>
      </c>
    </row>
    <row r="15" spans="1:18" x14ac:dyDescent="0.1">
      <c r="A15" t="s">
        <v>38</v>
      </c>
      <c r="B15" t="s">
        <v>36</v>
      </c>
      <c r="C15" s="6">
        <v>0.55902777777777779</v>
      </c>
      <c r="D15" t="s">
        <v>38</v>
      </c>
      <c r="E15" t="s">
        <v>36</v>
      </c>
      <c r="F15" s="6">
        <v>0.55902777777777779</v>
      </c>
      <c r="G15" t="s">
        <v>38</v>
      </c>
      <c r="H15" t="s">
        <v>36</v>
      </c>
      <c r="I15" s="6">
        <v>0.55555555555555558</v>
      </c>
      <c r="J15" t="s">
        <v>38</v>
      </c>
      <c r="K15" t="s">
        <v>36</v>
      </c>
      <c r="L15" s="6">
        <v>0.55555555555555558</v>
      </c>
      <c r="M15" t="s">
        <v>38</v>
      </c>
      <c r="N15" t="s">
        <v>36</v>
      </c>
      <c r="O15" s="6">
        <v>0.54861111111111116</v>
      </c>
      <c r="P15" t="s">
        <v>38</v>
      </c>
      <c r="Q15" t="s">
        <v>36</v>
      </c>
      <c r="R15" s="6">
        <v>0.54861111111111116</v>
      </c>
    </row>
    <row r="16" spans="1:18" x14ac:dyDescent="0.1">
      <c r="B16" t="s">
        <v>37</v>
      </c>
      <c r="E16" t="s">
        <v>125</v>
      </c>
      <c r="H16" t="s">
        <v>39</v>
      </c>
      <c r="K16" t="s">
        <v>37</v>
      </c>
      <c r="N16" t="s">
        <v>58</v>
      </c>
      <c r="Q16" t="s">
        <v>39</v>
      </c>
    </row>
    <row r="17" spans="1:18" x14ac:dyDescent="0.1">
      <c r="A17" t="s">
        <v>40</v>
      </c>
      <c r="B17" t="s">
        <v>36</v>
      </c>
      <c r="C17" s="6">
        <v>0.58333333333333337</v>
      </c>
      <c r="D17" t="s">
        <v>40</v>
      </c>
      <c r="E17" t="s">
        <v>36</v>
      </c>
      <c r="F17" s="6">
        <v>0.58333333333333337</v>
      </c>
      <c r="G17" t="s">
        <v>40</v>
      </c>
      <c r="H17" t="s">
        <v>36</v>
      </c>
      <c r="I17" s="6">
        <v>0.57638888888888884</v>
      </c>
      <c r="J17" t="s">
        <v>40</v>
      </c>
      <c r="K17" t="s">
        <v>36</v>
      </c>
      <c r="L17" s="6">
        <v>0.57638888888888884</v>
      </c>
      <c r="M17" t="s">
        <v>40</v>
      </c>
      <c r="N17" t="s">
        <v>36</v>
      </c>
      <c r="O17" s="6">
        <v>0.56944444444444442</v>
      </c>
      <c r="P17" t="s">
        <v>40</v>
      </c>
      <c r="Q17" t="s">
        <v>36</v>
      </c>
      <c r="R17" s="6">
        <v>0.56944444444444442</v>
      </c>
    </row>
    <row r="18" spans="1:18" x14ac:dyDescent="0.1">
      <c r="B18" t="s">
        <v>66</v>
      </c>
      <c r="E18" t="s">
        <v>48</v>
      </c>
      <c r="H18" t="s">
        <v>45</v>
      </c>
      <c r="K18" t="s">
        <v>41</v>
      </c>
      <c r="N18" t="s">
        <v>45</v>
      </c>
      <c r="Q18" t="s">
        <v>41</v>
      </c>
    </row>
    <row r="19" spans="1:18" x14ac:dyDescent="0.1">
      <c r="A19" t="s">
        <v>42</v>
      </c>
      <c r="B19" t="s">
        <v>150</v>
      </c>
      <c r="C19" s="6">
        <v>0.60763888888888884</v>
      </c>
      <c r="D19" t="s">
        <v>42</v>
      </c>
      <c r="E19" t="s">
        <v>126</v>
      </c>
      <c r="F19" s="6">
        <v>0.60763888888888884</v>
      </c>
      <c r="G19" t="s">
        <v>42</v>
      </c>
      <c r="H19" t="s">
        <v>36</v>
      </c>
      <c r="I19" s="6">
        <v>0.59722222222222221</v>
      </c>
      <c r="J19" t="s">
        <v>42</v>
      </c>
      <c r="K19" t="s">
        <v>36</v>
      </c>
      <c r="L19" s="6">
        <v>0.59722222222222221</v>
      </c>
      <c r="M19" t="s">
        <v>42</v>
      </c>
      <c r="N19" t="s">
        <v>59</v>
      </c>
      <c r="O19" s="6">
        <v>0.59027777777777779</v>
      </c>
      <c r="P19" t="s">
        <v>42</v>
      </c>
      <c r="Q19" t="s">
        <v>43</v>
      </c>
      <c r="R19" s="6">
        <v>0.59027777777777779</v>
      </c>
    </row>
    <row r="20" spans="1:18" x14ac:dyDescent="0.1">
      <c r="B20" t="s">
        <v>64</v>
      </c>
      <c r="E20" t="s">
        <v>36</v>
      </c>
      <c r="H20" t="s">
        <v>48</v>
      </c>
      <c r="K20" t="s">
        <v>45</v>
      </c>
      <c r="N20" t="s">
        <v>36</v>
      </c>
      <c r="Q20" t="s">
        <v>44</v>
      </c>
    </row>
    <row r="21" spans="1:18" x14ac:dyDescent="0.1">
      <c r="B21" t="s">
        <v>151</v>
      </c>
      <c r="E21" t="s">
        <v>60</v>
      </c>
      <c r="G21" t="s">
        <v>46</v>
      </c>
      <c r="H21" t="s">
        <v>102</v>
      </c>
      <c r="I21" s="6">
        <v>0.61805555555555558</v>
      </c>
      <c r="J21" t="s">
        <v>46</v>
      </c>
      <c r="K21" t="s">
        <v>68</v>
      </c>
      <c r="L21" s="6">
        <v>0.61805555555555558</v>
      </c>
      <c r="N21" t="s">
        <v>60</v>
      </c>
      <c r="Q21" t="s">
        <v>45</v>
      </c>
    </row>
    <row r="22" spans="1:18" x14ac:dyDescent="0.1">
      <c r="A22" t="s">
        <v>46</v>
      </c>
      <c r="B22" t="s">
        <v>152</v>
      </c>
      <c r="C22" s="6">
        <v>0.63194444444444442</v>
      </c>
      <c r="D22" t="s">
        <v>46</v>
      </c>
      <c r="E22" t="s">
        <v>127</v>
      </c>
      <c r="F22" s="6">
        <v>0.63194444444444442</v>
      </c>
      <c r="H22" t="s">
        <v>64</v>
      </c>
      <c r="K22" t="s">
        <v>44</v>
      </c>
      <c r="M22" t="s">
        <v>46</v>
      </c>
      <c r="N22" t="s">
        <v>61</v>
      </c>
      <c r="O22" s="6">
        <v>0.61458333333333337</v>
      </c>
      <c r="P22" t="s">
        <v>46</v>
      </c>
      <c r="Q22" t="s">
        <v>47</v>
      </c>
      <c r="R22" s="6">
        <v>0.61458333333333337</v>
      </c>
    </row>
    <row r="23" spans="1:18" x14ac:dyDescent="0.1">
      <c r="B23" t="s">
        <v>44</v>
      </c>
      <c r="E23" t="s">
        <v>44</v>
      </c>
      <c r="H23" t="s">
        <v>103</v>
      </c>
      <c r="K23" t="s">
        <v>69</v>
      </c>
      <c r="N23" t="s">
        <v>44</v>
      </c>
      <c r="Q23" t="s">
        <v>44</v>
      </c>
    </row>
    <row r="24" spans="1:18" x14ac:dyDescent="0.1">
      <c r="B24" t="s">
        <v>153</v>
      </c>
      <c r="E24" t="s">
        <v>128</v>
      </c>
      <c r="G24" t="s">
        <v>49</v>
      </c>
      <c r="H24" t="s">
        <v>104</v>
      </c>
      <c r="I24" s="6">
        <v>0.64236111111111116</v>
      </c>
      <c r="J24" t="s">
        <v>49</v>
      </c>
      <c r="K24" t="s">
        <v>70</v>
      </c>
      <c r="L24" s="6">
        <v>0.64236111111111116</v>
      </c>
      <c r="N24" t="s">
        <v>39</v>
      </c>
      <c r="Q24" t="s">
        <v>48</v>
      </c>
    </row>
    <row r="25" spans="1:18" x14ac:dyDescent="0.1">
      <c r="A25" t="s">
        <v>49</v>
      </c>
      <c r="B25" t="s">
        <v>154</v>
      </c>
      <c r="C25" s="6">
        <v>0.65625</v>
      </c>
      <c r="D25" s="42" t="s">
        <v>49</v>
      </c>
      <c r="E25" s="42" t="s">
        <v>129</v>
      </c>
      <c r="F25" s="43">
        <v>0.65625</v>
      </c>
      <c r="H25" t="s">
        <v>44</v>
      </c>
      <c r="K25" t="s">
        <v>71</v>
      </c>
      <c r="M25" s="42" t="s">
        <v>49</v>
      </c>
      <c r="N25" s="42" t="s">
        <v>62</v>
      </c>
      <c r="O25" s="43">
        <v>0.63888888888888884</v>
      </c>
      <c r="P25" t="s">
        <v>49</v>
      </c>
      <c r="Q25" t="s">
        <v>50</v>
      </c>
      <c r="R25" s="6">
        <v>0.63888888888888884</v>
      </c>
    </row>
    <row r="26" spans="1:18" x14ac:dyDescent="0.1">
      <c r="B26" t="s">
        <v>71</v>
      </c>
      <c r="D26" s="42"/>
      <c r="E26" s="42" t="s">
        <v>130</v>
      </c>
      <c r="F26" s="42"/>
      <c r="H26" t="s">
        <v>60</v>
      </c>
      <c r="K26" t="s">
        <v>41</v>
      </c>
      <c r="M26" s="42"/>
      <c r="N26" s="42" t="s">
        <v>63</v>
      </c>
      <c r="O26" s="42"/>
      <c r="Q26" t="s">
        <v>51</v>
      </c>
    </row>
    <row r="27" spans="1:18" x14ac:dyDescent="0.1">
      <c r="B27" t="s">
        <v>155</v>
      </c>
      <c r="D27" s="42"/>
      <c r="E27" s="42" t="s">
        <v>51</v>
      </c>
      <c r="F27" s="42"/>
      <c r="G27" t="s">
        <v>53</v>
      </c>
      <c r="H27" t="s">
        <v>105</v>
      </c>
      <c r="I27" s="6">
        <v>0.66666666666666663</v>
      </c>
      <c r="J27" t="s">
        <v>53</v>
      </c>
      <c r="K27" t="s">
        <v>72</v>
      </c>
      <c r="L27" s="6">
        <v>0.66666666666666663</v>
      </c>
      <c r="M27" s="42"/>
      <c r="N27" s="42" t="s">
        <v>64</v>
      </c>
      <c r="O27" s="42"/>
      <c r="Q27" t="s">
        <v>52</v>
      </c>
    </row>
    <row r="28" spans="1:18" x14ac:dyDescent="0.1">
      <c r="A28" t="s">
        <v>53</v>
      </c>
      <c r="B28" t="s">
        <v>156</v>
      </c>
      <c r="C28" s="6">
        <v>0.68055555555555558</v>
      </c>
      <c r="D28" s="42"/>
      <c r="E28" s="42" t="s">
        <v>103</v>
      </c>
      <c r="F28" s="42"/>
      <c r="H28" t="s">
        <v>44</v>
      </c>
      <c r="K28" t="s">
        <v>36</v>
      </c>
      <c r="M28" s="42"/>
      <c r="N28" s="42" t="s">
        <v>65</v>
      </c>
      <c r="O28" s="42"/>
      <c r="P28" t="s">
        <v>53</v>
      </c>
      <c r="Q28" t="s">
        <v>36</v>
      </c>
      <c r="R28" s="6">
        <v>0.67013888888888884</v>
      </c>
    </row>
    <row r="29" spans="1:18" x14ac:dyDescent="0.1">
      <c r="B29" t="s">
        <v>36</v>
      </c>
      <c r="D29" t="s">
        <v>53</v>
      </c>
      <c r="E29" t="s">
        <v>131</v>
      </c>
      <c r="F29" s="6">
        <v>0.68055555555555558</v>
      </c>
      <c r="H29" t="s">
        <v>45</v>
      </c>
      <c r="K29" t="s">
        <v>73</v>
      </c>
      <c r="M29" t="s">
        <v>53</v>
      </c>
      <c r="N29" t="s">
        <v>36</v>
      </c>
      <c r="O29" s="6">
        <v>0.67013888888888884</v>
      </c>
      <c r="Q29" t="s">
        <v>45</v>
      </c>
    </row>
    <row r="30" spans="1:18" x14ac:dyDescent="0.1">
      <c r="B30" t="s">
        <v>45</v>
      </c>
      <c r="E30" t="s">
        <v>44</v>
      </c>
      <c r="N30" t="s">
        <v>66</v>
      </c>
    </row>
    <row r="31" spans="1:18" x14ac:dyDescent="0.1">
      <c r="E31" t="s">
        <v>132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ワークシート</vt:lpstr>
      </vt:variant>
      <vt:variant>
        <vt:i4>28</vt:i4>
      </vt:variant>
    </vt:vector>
  </HeadingPairs>
  <TitlesOfParts>
    <vt:vector size="28" baseType="lpstr">
      <vt:lpstr>program</vt:lpstr>
      <vt:lpstr>schedule</vt:lpstr>
      <vt:lpstr>賞金</vt:lpstr>
      <vt:lpstr>1_中山</vt:lpstr>
      <vt:lpstr>1_京都</vt:lpstr>
      <vt:lpstr>1_小倉</vt:lpstr>
      <vt:lpstr>1_東京</vt:lpstr>
      <vt:lpstr>2_京都</vt:lpstr>
      <vt:lpstr>1_阪神</vt:lpstr>
      <vt:lpstr>2_中山</vt:lpstr>
      <vt:lpstr>1_中京</vt:lpstr>
      <vt:lpstr>3_中山</vt:lpstr>
      <vt:lpstr>2_阪神</vt:lpstr>
      <vt:lpstr>1_福島</vt:lpstr>
      <vt:lpstr>2_東京</vt:lpstr>
      <vt:lpstr>3_京都</vt:lpstr>
      <vt:lpstr>1_新潟</vt:lpstr>
      <vt:lpstr>3_東京</vt:lpstr>
      <vt:lpstr>3_阪神</vt:lpstr>
      <vt:lpstr>1_函館</vt:lpstr>
      <vt:lpstr>2_福島</vt:lpstr>
      <vt:lpstr>2_小倉</vt:lpstr>
      <vt:lpstr>2_新潟</vt:lpstr>
      <vt:lpstr>2_中京</vt:lpstr>
      <vt:lpstr>1_札幌</vt:lpstr>
      <vt:lpstr>3_新潟</vt:lpstr>
      <vt:lpstr>3_中京</vt:lpstr>
      <vt:lpstr>2_札幌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根岸 パイソン</dc:creator>
  <cp:lastModifiedBy>根岸 パイソン</cp:lastModifiedBy>
  <dcterms:created xsi:type="dcterms:W3CDTF">2026-04-07T00:04:44Z</dcterms:created>
  <dcterms:modified xsi:type="dcterms:W3CDTF">2026-04-16T15:03:16Z</dcterms:modified>
</cp:coreProperties>
</file>